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Warwick\.codex\.chatgpt-projects\g-p-6a89e2d97fa08191bee04f4c7a2099a9\Atomic-Chat\docs\superpowers\plans\"/>
    </mc:Choice>
  </mc:AlternateContent>
  <xr:revisionPtr revIDLastSave="0" documentId="13_ncr:1_{05BF754B-93F4-44B3-A36B-68FB5BAE0061}" xr6:coauthVersionLast="47" xr6:coauthVersionMax="47" xr10:uidLastSave="{00000000-0000-0000-0000-000000000000}"/>
  <bookViews>
    <workbookView xWindow="1464" yWindow="1464" windowWidth="17280" windowHeight="9960" xr2:uid="{00000000-000D-0000-FFFF-FFFF00000000}"/>
  </bookViews>
  <sheets>
    <sheet name="README" sheetId="1" r:id="rId1"/>
    <sheet name="Tasks" sheetId="2" r:id="rId2"/>
    <sheet name="Steps" sheetId="3" r:id="rId3"/>
    <sheet name="Decisions" sheetId="4" r:id="rId4"/>
    <sheet name="Evidence" sheetId="5" r:id="rId5"/>
  </sheets>
  <definedNames>
    <definedName name="_xlnm._FilterDatabase" localSheetId="2" hidden="1">Steps!$A$1:$I$129</definedName>
    <definedName name="_xlnm._FilterDatabase" localSheetId="1" hidden="1">Tasks!$A$2:$K$20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" i="1" l="1"/>
  <c r="B36" i="1"/>
  <c r="B35" i="1"/>
  <c r="B37" i="1" s="1"/>
  <c r="B34" i="1"/>
  <c r="B32" i="1"/>
  <c r="B31" i="1"/>
  <c r="B30" i="1"/>
  <c r="B33" i="1" s="1"/>
  <c r="B29" i="1"/>
</calcChain>
</file>

<file path=xl/sharedStrings.xml><?xml version="1.0" encoding="utf-8"?>
<sst xmlns="http://schemas.openxmlformats.org/spreadsheetml/2006/main" count="1068" uniqueCount="516">
  <si>
    <t>Atomic Media — Model-Agnostic Platform Tracker</t>
  </si>
  <si>
    <t>Plan document</t>
  </si>
  <si>
    <t>docs/superpowers/plans/2026-09-08-model-agnostic-atomic-media-platform.md</t>
  </si>
  <si>
    <t>Repository</t>
  </si>
  <si>
    <t>walladanger/Atomic-Chat (fork of AtomicBot-ai/Atomic-Chat)</t>
  </si>
  <si>
    <t>Branch</t>
  </si>
  <si>
    <t>feature/atomic-code-foundation</t>
  </si>
  <si>
    <t>Created</t>
  </si>
  <si>
    <t>2026-09-08</t>
  </si>
  <si>
    <t>AGENTS: READ THIS BEFORE STARTING ANY MEDIA WORK</t>
  </si>
  <si>
    <t>1.</t>
  </si>
  <si>
    <t>Open the Tasks and Steps sheets and find the first row whose Status is not Done or Skipped. That is the next piece of work. Do not start elsewhere.</t>
  </si>
  <si>
    <t>2.</t>
  </si>
  <si>
    <t>Task 0 is a hard gate. `make verify` is currently RED because commit a13b71a83 changed 8 of the 11 files frozen in scripts/selective-v2032-protected.json. Nothing downstream can be verified until Task 0 lands.</t>
  </si>
  <si>
    <t>3.</t>
  </si>
  <si>
    <t>Decision Q1 on the Decisions sheet blocks Task 0. It is the user's call, not yours. Do not guess it.</t>
  </si>
  <si>
    <t>4.</t>
  </si>
  <si>
    <t>Phase gates are listed on the Tasks sheet. Do not begin a phase until the previous phase's gate is green.</t>
  </si>
  <si>
    <t>5.</t>
  </si>
  <si>
    <t>Update Status here in the same commit as the work. A step is Done only when its stated command has actually been run and passed.</t>
  </si>
  <si>
    <t>6.</t>
  </si>
  <si>
    <t>Never commit the four pre-existing dirty paths: downloads/index.html, extensions/yarn.lock, src-tauri/icons/icon.png, web-app/src/containers/DownloadManegement.tsx.</t>
  </si>
  <si>
    <t>How to use this workbook</t>
  </si>
  <si>
    <t>Edit only the yellow columns</t>
  </si>
  <si>
    <t>Status, Owner, Commit SHA, Notes, Answer. Every other column is reference material from the plan and should not be edited.</t>
  </si>
  <si>
    <t>Status values</t>
  </si>
  <si>
    <t>Not started / In progress / Blocked / Done / Skipped / N/A</t>
  </si>
  <si>
    <t>Where column</t>
  </si>
  <si>
    <t>Laptop = no GPU needed. GPU box = needs the machine that can actually generate.</t>
  </si>
  <si>
    <t>Example row (Steps sheet)</t>
  </si>
  <si>
    <t>Step ID</t>
  </si>
  <si>
    <t>Task</t>
  </si>
  <si>
    <t>Step</t>
  </si>
  <si>
    <t>Description</t>
  </si>
  <si>
    <t>Status</t>
  </si>
  <si>
    <t>Owner</t>
  </si>
  <si>
    <t>Notes</t>
  </si>
  <si>
    <t>T01-S03</t>
  </si>
  <si>
    <t>Task 1</t>
  </si>
  <si>
    <t>Implement the types</t>
  </si>
  <si>
    <t>Done</t>
  </si>
  <si>
    <t>Warwick</t>
  </si>
  <si>
    <t>Committed in 4f2a1bc; vitest green</t>
  </si>
  <si>
    <t>Progress</t>
  </si>
  <si>
    <t>Tasks total</t>
  </si>
  <si>
    <t>Tasks done</t>
  </si>
  <si>
    <t>Tasks skipped</t>
  </si>
  <si>
    <t>Tasks blocked</t>
  </si>
  <si>
    <t>Task completion</t>
  </si>
  <si>
    <t>Steps total</t>
  </si>
  <si>
    <t>Steps done</t>
  </si>
  <si>
    <t>Steps skipped</t>
  </si>
  <si>
    <t>Step completion</t>
  </si>
  <si>
    <t>Open decisions</t>
  </si>
  <si>
    <t>Edit only the yellow columns. Blocked by / Gate / Where come from the plan and are reference only.</t>
  </si>
  <si>
    <t>Phase</t>
  </si>
  <si>
    <t>Task name</t>
  </si>
  <si>
    <t>Where</t>
  </si>
  <si>
    <t>Blocked by</t>
  </si>
  <si>
    <t>Phase gate</t>
  </si>
  <si>
    <t>Commit SHA</t>
  </si>
  <si>
    <t>Notes from plan</t>
  </si>
  <si>
    <t>Your notes</t>
  </si>
  <si>
    <t>Task 0</t>
  </si>
  <si>
    <t>0 - Unblock</t>
  </si>
  <si>
    <t>Reconcile the protected-surface guard</t>
  </si>
  <si>
    <t>Laptop</t>
  </si>
  <si>
    <t>Not started</t>
  </si>
  <si>
    <t>Q1</t>
  </si>
  <si>
    <t>make verify green</t>
  </si>
  <si>
    <t>HARD GATE. Guard is red now: 8 of 11 protected media files changed by a13b71a83. Adds scripts/rebaseline-selective-v2032.mjs.</t>
  </si>
  <si>
    <t>1 - Contract</t>
  </si>
  <si>
    <t>Introduce the v2 media contract</t>
  </si>
  <si>
    <t>Upcaster round-trip tests green</t>
  </si>
  <si>
    <t>Pure types + validateParams. No UI change, no I/O.</t>
  </si>
  <si>
    <t>Task 2</t>
  </si>
  <si>
    <t>v1 to v2 upcaster; remove model-specific residue</t>
  </si>
  <si>
    <t>Laptop (GPU preferred)</t>
  </si>
  <si>
    <t>Live worker capture preferred for the fixture; the fixture at MediaStudio.test.tsx:9-58 is the laptop fallback. Deletes ATOMIC_MEDIA_DEFAULT_VIDEO_REQUEST.</t>
  </si>
  <si>
    <t>Task 3</t>
  </si>
  <si>
    <t>2 - Providers</t>
  </si>
  <si>
    <t>Extract the Atomic Media Worker adapter</t>
  </si>
  <si>
    <t>Two adapters pass one conformance suite</t>
  </si>
  <si>
    <t>Mock transport. Writes the shared conformance suite that every later adapter must pass.</t>
  </si>
  <si>
    <t>Task 4</t>
  </si>
  <si>
    <t>Multi-provider registry, store, settings persistence</t>
  </si>
  <si>
    <t>Bundled baseline is the existing local worker, so current users see no change.</t>
  </si>
  <si>
    <t>Task 5</t>
  </si>
  <si>
    <t>ComfyUI adapter - proof the abstraction holds</t>
  </si>
  <si>
    <t>Laptop (CPU ComfyUI)</t>
  </si>
  <si>
    <t>Fixtures only, never live. ComfyUI runs CPU-only and /object_info responds without generating.</t>
  </si>
  <si>
    <t>Task 6</t>
  </si>
  <si>
    <t>Remote / cloud adapter</t>
  </si>
  <si>
    <t>Q2</t>
  </si>
  <si>
    <t>GATED on Q2. Skip entirely if local-only. Cloud does the compute, so this is ideal laptop work.</t>
  </si>
  <si>
    <t>Task 7</t>
  </si>
  <si>
    <t>3 - Orchestration</t>
  </si>
  <si>
    <t>Job manager - queue, cancel, backoff, idempotency</t>
  </si>
  <si>
    <t>Job manager and library unit tests green</t>
  </si>
  <si>
    <t>Fake timers. Fixes C10, C11, C12.</t>
  </si>
  <si>
    <t>Task 8</t>
  </si>
  <si>
    <t>Asset materialisation and the media library</t>
  </si>
  <si>
    <t>Mocked fs. Thumbnails are WebView2, not GPU.</t>
  </si>
  <si>
    <t>Task 9</t>
  </si>
  <si>
    <t>Worker lifecycle supervision</t>
  </si>
  <si>
    <t>Q3, Q5</t>
  </si>
  <si>
    <t>GATED on Q3. Rust spawn/stop/restart testable against a stub process.</t>
  </si>
  <si>
    <t>Task 10</t>
  </si>
  <si>
    <t>4 - UI</t>
  </si>
  <si>
    <t>Schema-driven parameter renderer</t>
  </si>
  <si>
    <t>make verify-fast green; visual parity</t>
  </si>
  <si>
    <t>Pure React + RTL. Biggest single win, needs nothing but a laptop.</t>
  </si>
  <si>
    <t>Task 11</t>
  </si>
  <si>
    <t>Refit the Media Studio onto the platform</t>
  </si>
  <si>
    <t>Task 0, Task 10</t>
  </si>
  <si>
    <t>EDITS THE PROTECTED FILES - Task 0 must be green first. Includes the payload-parity regression test.</t>
  </si>
  <si>
    <t>Task 12</t>
  </si>
  <si>
    <t>Provider and model management UI</t>
  </si>
  <si>
    <t>Settings to Media. Follows the existing Settings to Providers layout.</t>
  </si>
  <si>
    <t>Task 13</t>
  </si>
  <si>
    <t>Media library route</t>
  </si>
  <si>
    <t>Seed the index with any existing image/video files to exercise the whole flow.</t>
  </si>
  <si>
    <t>Task 14</t>
  </si>
  <si>
    <t>Internationalisation - 14 locales</t>
  </si>
  <si>
    <t>Pure text work. Disclose any locale shipped untranslated.</t>
  </si>
  <si>
    <t>Task 15</t>
  </si>
  <si>
    <t>5 - Catalog</t>
  </si>
  <si>
    <t>Remote media registry</t>
  </si>
  <si>
    <t>Registry loader tests green</t>
  </si>
  <si>
    <t>Structural clone of provider-registry.ts. Mocked fetch.</t>
  </si>
  <si>
    <t>Task 16</t>
  </si>
  <si>
    <t>6 - Close-out</t>
  </si>
  <si>
    <t>Documentation, ADRs, data-path registration</t>
  </si>
  <si>
    <t>make verify green; ADRs written</t>
  </si>
  <si>
    <t>Six ADRs. AGENTS.md must stay under 200 lines.</t>
  </si>
  <si>
    <t>Task 17</t>
  </si>
  <si>
    <t>Full verification and close-out</t>
  </si>
  <si>
    <t>Laptop except Step 9</t>
  </si>
  <si>
    <t>Step 9 (manual smoke against a real worker) is the only step that needs the GPU box.</t>
  </si>
  <si>
    <t>Command / expected</t>
  </si>
  <si>
    <t>T00-S01</t>
  </si>
  <si>
    <t>Get the Q1 decision from the user in writing</t>
  </si>
  <si>
    <t>Do not guess. Option B or C invalidates Tasks 10-11 as written.</t>
  </si>
  <si>
    <t>T00-S02</t>
  </si>
  <si>
    <t>Write a failing test for the re-baseline script</t>
  </si>
  <si>
    <t>Fixture case in tests/verify-selective-v2032.test.mjs</t>
  </si>
  <si>
    <t>T00-S03</t>
  </si>
  <si>
    <t>Run and confirm failure</t>
  </si>
  <si>
    <t>node --test tests/verify-selective-v2032.test.mjs -&gt; FAIL (module not found)</t>
  </si>
  <si>
    <t>T00-S04</t>
  </si>
  <si>
    <t>Implement scripts/rebaseline-selective-v2032.mjs</t>
  </si>
  <si>
    <t>Reuse hashFile; sorted keys, 2-space indent, trailing newline</t>
  </si>
  <si>
    <t>T00-S05</t>
  </si>
  <si>
    <t>Re-baseline the eight files changed by a13b71a83</t>
  </si>
  <si>
    <t>node scripts/rebaseline-selective-v2032.mjs</t>
  </si>
  <si>
    <t>T00-S06</t>
  </si>
  <si>
    <t>Verify the guard is green</t>
  </si>
  <si>
    <t>make test-selective-v2032 -&gt; PASS</t>
  </si>
  <si>
    <t>T00-S07</t>
  </si>
  <si>
    <t>Commit - manifest change isolated</t>
  </si>
  <si>
    <t>chore(guard): re-baseline Atomic Media protected hashes</t>
  </si>
  <si>
    <t>T01-S01</t>
  </si>
  <si>
    <t>Write failing validation tests</t>
  </si>
  <si>
    <t>Clamping, modulus quantisation, enum rejection, required, depends_on, unknown-key drop, seed empty = random</t>
  </si>
  <si>
    <t>T01-S02</t>
  </si>
  <si>
    <t>yarn workspace @janhq/web-app vitest run src/services/media/contract -&gt; FAIL</t>
  </si>
  <si>
    <t>tasks.ts, params.ts, models.ts, jobs.ts, index.ts. No I/O, no React</t>
  </si>
  <si>
    <t>T01-S04</t>
  </si>
  <si>
    <t>Implement validateParams</t>
  </si>
  <si>
    <t>Pure function, never throws, returns a discriminated result</t>
  </si>
  <si>
    <t>T01-S05</t>
  </si>
  <si>
    <t>Run the focused tests</t>
  </si>
  <si>
    <t>vitest run src/services/media/contract -&gt; PASS</t>
  </si>
  <si>
    <t>T01-S06</t>
  </si>
  <si>
    <t>Commit</t>
  </si>
  <si>
    <t>feat(media): add model-agnostic media contract v2</t>
  </si>
  <si>
    <t>T02-S01</t>
  </si>
  <si>
    <t>Capture a v1 capabilities payload as a fixture</t>
  </si>
  <si>
    <t>Live worker capture preferred; laptop fallback is MediaStudio.test.tsx:9-58. Record which source was used</t>
  </si>
  <si>
    <t>T02-S02</t>
  </si>
  <si>
    <t>Write the failing parity test</t>
  </si>
  <si>
    <t>THE acceptance test: same controls AND byte-identical submitted payload</t>
  </si>
  <si>
    <t>T02-S03</t>
  </si>
  <si>
    <t>vitest run src/services/media/contract -&gt; FAIL</t>
  </si>
  <si>
    <t>T02-S04</t>
  </si>
  <si>
    <t>Implement upcastV1Capabilities</t>
  </si>
  <si>
    <t>Total function, per the plan's mapping table. Unknown v1 fields ignored, never thrown on</t>
  </si>
  <si>
    <t>T02-S05</t>
  </si>
  <si>
    <t>Implement downcastV2Request</t>
  </si>
  <si>
    <t>Known ids to flat v1 fields; unknown ids dropped with one console.warn</t>
  </si>
  <si>
    <t>T02-S06</t>
  </si>
  <si>
    <t>Delete ATOMIC_MEDIA_DEFAULT_VIDEO_REQUEST and its test uses</t>
  </si>
  <si>
    <t>Coupling C8. Dead outside its own test since a13b71a83</t>
  </si>
  <si>
    <t>T02-S07</t>
  </si>
  <si>
    <t>Run focused tests plus the existing Media suite</t>
  </si>
  <si>
    <t>vitest run src/services/media src/services/atomicMedia -&gt; PASS</t>
  </si>
  <si>
    <t>T02-S08</t>
  </si>
  <si>
    <t>feat(media): upcast v1 worker capabilities to contract v2</t>
  </si>
  <si>
    <t>T03-S01</t>
  </si>
  <si>
    <t>Write the conformance suite first</t>
  </si>
  <si>
    <t>Parameterised over adapter factory + mock transport. Every later adapter must pass it unmodified</t>
  </si>
  <si>
    <t>T03-S02</t>
  </si>
  <si>
    <t>Write failing worker-adapter tests against it</t>
  </si>
  <si>
    <t>vitest run src/services/media/adapters -&gt; FAIL</t>
  </si>
  <si>
    <t>T03-S03</t>
  </si>
  <si>
    <t>Implement createAtomicWorkerAdapter</t>
  </si>
  <si>
    <t>Injected base_url; routes v1 through upcastV1Capabilities; features.cancel = false (v1 has no cancel)</t>
  </si>
  <si>
    <t>T03-S04</t>
  </si>
  <si>
    <t>Add client_job_id correlation</t>
  </si>
  <si>
    <t>Internal map, since the v1 worker does not echo a client id</t>
  </si>
  <si>
    <t>T03-S05</t>
  </si>
  <si>
    <t>Run the suite</t>
  </si>
  <si>
    <t>PASS</t>
  </si>
  <si>
    <t>T03-S06</t>
  </si>
  <si>
    <t>feat(media): add Atomic Media Worker provider adapter</t>
  </si>
  <si>
    <t>T04-S01</t>
  </si>
  <si>
    <t>Write failing store tests</t>
  </si>
  <si>
    <t>Baseline present; enable/disable persists; two providers merge without id collision; disabling clears a stale selection</t>
  </si>
  <si>
    <t>T04-S02</t>
  </si>
  <si>
    <t>FAIL</t>
  </si>
  <si>
    <t>T04-S03</t>
  </si>
  <si>
    <t>Define the bundled baseline</t>
  </si>
  <si>
    <t>Exactly one entry: local worker at 127.0.0.1:13420, origin builtin, enabled. No migration for existing users</t>
  </si>
  <si>
    <t>T04-S04</t>
  </si>
  <si>
    <t>Implement the store</t>
  </si>
  <si>
    <t>Persist to the existing settings surface. No new config file. Secrets go where cloud LLM keys go, never localStorage</t>
  </si>
  <si>
    <t>T04-S05</t>
  </si>
  <si>
    <t>Implement health/capability refresh with per-provider isolation</t>
  </si>
  <si>
    <t>Promise.allSettled, per-provider timeouts, independent error state</t>
  </si>
  <si>
    <t>T04-S06</t>
  </si>
  <si>
    <t>Run tests</t>
  </si>
  <si>
    <t>T04-S07</t>
  </si>
  <si>
    <t>feat(media): support multiple media providers</t>
  </si>
  <si>
    <t>T05-S01</t>
  </si>
  <si>
    <t>Read the ComfyUI HTTP/WS surface before writing anything</t>
  </si>
  <si>
    <t>/object_info, /prompt, /history/{id}, /queue, /interrupt, /view, /ws. Record the version validated against</t>
  </si>
  <si>
    <t>T05-S02</t>
  </si>
  <si>
    <t>Write failing tests against recorded fixtures</t>
  </si>
  <si>
    <t>Fixture-driven, never live</t>
  </si>
  <si>
    <t>T05-S03</t>
  </si>
  <si>
    <t>Implement capability derivation</t>
  </si>
  <si>
    <t>Only declared workflow templates are surfaced. Never guess at an arbitrary graph</t>
  </si>
  <si>
    <t>T05-S04</t>
  </si>
  <si>
    <t>Implement submit / poll / subscribe / cancel</t>
  </si>
  <si>
    <t>WS subscribe with automatic fallback to poll on socket failure</t>
  </si>
  <si>
    <t>T05-S05</t>
  </si>
  <si>
    <t>Run both adapters through the conformance suite</t>
  </si>
  <si>
    <t>PASS for both. An adapter-specific branch in a test = a contract defect</t>
  </si>
  <si>
    <t>T05-S06</t>
  </si>
  <si>
    <t>feat(media): add ComfyUI provider adapter</t>
  </si>
  <si>
    <t>T06-S01</t>
  </si>
  <si>
    <t>Confirm Q2 before writing code</t>
  </si>
  <si>
    <t>Skip the whole task if local-only</t>
  </si>
  <si>
    <t>T06-S02</t>
  </si>
  <si>
    <t>Write failing tests</t>
  </si>
  <si>
    <t>Auth header injection, 401, 429 retryable, signed URL with expires_at, no key in logs or Sentry</t>
  </si>
  <si>
    <t>T06-S03</t>
  </si>
  <si>
    <t>Implement against the OpenAI-compatible images shape</t>
  </si>
  <si>
    <t>T06-S04</t>
  </si>
  <si>
    <t>Confirm materialisation fetches the URL to disk before preview</t>
  </si>
  <si>
    <t>Mandatory - CSP media-src blocks remote video</t>
  </si>
  <si>
    <t>T06-S05</t>
  </si>
  <si>
    <t>Run the conformance suite</t>
  </si>
  <si>
    <t>T06-S06</t>
  </si>
  <si>
    <t>feat(media): add remote HTTP media provider adapter</t>
  </si>
  <si>
    <t>T07-S01</t>
  </si>
  <si>
    <t>Two concurrent jobs on two providers; survives unmount; backoff 1-2-4-8 capped at 10s; give-up after N; cancel gating; idempotency</t>
  </si>
  <si>
    <t>T07-S02</t>
  </si>
  <si>
    <t>T07-S03</t>
  </si>
  <si>
    <t>Implement the manager as a module-scoped singleton with a store</t>
  </si>
  <si>
    <t>Not React state. The hook subscribes, it does not own</t>
  </si>
  <si>
    <t>T07-S04</t>
  </si>
  <si>
    <t>Prefer subscribe over poll when features.events is true</t>
  </si>
  <si>
    <t>Fall back to polling on stream error without losing the job</t>
  </si>
  <si>
    <t>T07-S05</t>
  </si>
  <si>
    <t>Implement useMediaGeneration</t>
  </si>
  <si>
    <t>Keep useAtomicMediaJob delegating until Task 11 removes its last consumer</t>
  </si>
  <si>
    <t>T07-S06</t>
  </si>
  <si>
    <t>T07-S07</t>
  </si>
  <si>
    <t>feat(media): add cross-provider media job manager</t>
  </si>
  <si>
    <t>T08-S01</t>
  </si>
  <si>
    <t>local_path adopted in place; url fetched; inline decoded; mime mapping; corrupt index degrades; data folder from AppConfiguration</t>
  </si>
  <si>
    <t>T08-S02</t>
  </si>
  <si>
    <t>T08-S03</t>
  </si>
  <si>
    <t>Implement materialisation</t>
  </si>
  <si>
    <t>Stream to .partial and promote atomically, same pattern as jan_utils::backend_bundle. Per-asset size ceiling</t>
  </si>
  <si>
    <t>T08-S04</t>
  </si>
  <si>
    <t>Implement the library index</t>
  </si>
  <si>
    <t>schema_version from day one. Atomic writes. Never block the UI on a full rewrite</t>
  </si>
  <si>
    <t>T08-S05</t>
  </si>
  <si>
    <t>Generate thumbnails</t>
  </si>
  <si>
    <t>Canvas for images, first-frame capture for video. Failure is non-fatal</t>
  </si>
  <si>
    <t>T08-S06</t>
  </si>
  <si>
    <t>T08-S07</t>
  </si>
  <si>
    <t>feat(media): materialise outputs and persist a media library</t>
  </si>
  <si>
    <t>T09-S01</t>
  </si>
  <si>
    <t>Confirm Q3, and confirm Q5 (new runtime dependency)</t>
  </si>
  <si>
    <t>Skip the whole task if user-managed</t>
  </si>
  <si>
    <t>T09-S02</t>
  </si>
  <si>
    <t>Write failing Rust tests</t>
  </si>
  <si>
    <t>Spawn, health-gate, graceful stop, restart-on-crash with backoff ceiling, no orphan on exit</t>
  </si>
  <si>
    <t>T09-S03</t>
  </si>
  <si>
    <t>Implement the supervisor behind a setting defaulting to off</t>
  </si>
  <si>
    <t>src-tauri/src/core/media/supervisor.rs</t>
  </si>
  <si>
    <t>T09-S04</t>
  </si>
  <si>
    <t>Expose media_worker_status / start / stop Tauri commands</t>
  </si>
  <si>
    <t>Permitted explicitly in the capabilities file</t>
  </si>
  <si>
    <t>T09-S05</t>
  </si>
  <si>
    <t>Run cargo check, clippy, test in src-tauri/</t>
  </si>
  <si>
    <t>T09-S06</t>
  </si>
  <si>
    <t>feat(media): supervise the local media worker process</t>
  </si>
  <si>
    <t>T10-S01</t>
  </si>
  <si>
    <t>Write failing tests, one per MediaParamType</t>
  </si>
  <si>
    <t>Plus depends_on, advanced collapse, unknown-type fallback, modulus on blur, resolution as one control / two values</t>
  </si>
  <si>
    <t>T10-S02</t>
  </si>
  <si>
    <t>T10-S03</t>
  </si>
  <si>
    <t>Implement the field renderer</t>
  </si>
  <si>
    <t>Reuse the exact fieldClass/labelClass at MediaGenerationForm.tsx:11-14. Preserve every id and aria-label</t>
  </si>
  <si>
    <t>T10-S04</t>
  </si>
  <si>
    <t>Implement grouping and ordering</t>
  </si>
  <si>
    <t>core, output, sampling, motion, advanced; unknown groups after, alphabetically; id as final tiebreak</t>
  </si>
  <si>
    <t>T10-S05</t>
  </si>
  <si>
    <t>Implement useMediaParamState</t>
  </si>
  <si>
    <t>Generalises the useEffect at MediaGenerationForm.tsx:138-178</t>
  </si>
  <si>
    <t>T10-S06</t>
  </si>
  <si>
    <t>T10-S07</t>
  </si>
  <si>
    <t>feat(media): render generation parameters from schema</t>
  </si>
  <si>
    <t>T11-S01</t>
  </si>
  <si>
    <t>Write the failing visual-parity test first</t>
  </si>
  <si>
    <t>Same controls, order, labels, defaults, bounds AND the same submitted payload as today</t>
  </si>
  <si>
    <t>T11-S02</t>
  </si>
  <si>
    <t>Add failing tests for the new behaviour</t>
  </si>
  <si>
    <t>Tabs from capabilities incl. image_to_image (fixes C3); provider selector; cross-provider routing; cancel gating</t>
  </si>
  <si>
    <t>T11-S03</t>
  </si>
  <si>
    <t>T11-S04</t>
  </si>
  <si>
    <t>Refit MediaGenerationForm</t>
  </si>
  <si>
    <t>Delete MODES, the Mode type and all eight bespoke control blocks. 489 lines -&gt; roughly 150</t>
  </si>
  <si>
    <t>T11-S05</t>
  </si>
  <si>
    <t>Refit MediaStudio</t>
  </si>
  <si>
    <t>Swap useAtomicMediaJob for useMediaGeneration; header reads provider.label</t>
  </si>
  <si>
    <t>T11-S06</t>
  </si>
  <si>
    <t>Refit MediaPreview for materialised assets</t>
  </si>
  <si>
    <t>Delete the https: passthrough in toPreviewSrc - that branch is the CSP bug. Add audio + unknown handling</t>
  </si>
  <si>
    <t>T11-S07</t>
  </si>
  <si>
    <t>Refit MediaJobStatus</t>
  </si>
  <si>
    <t>Per-provider health, queue view, cancel gated on features.cancel</t>
  </si>
  <si>
    <t>T11-S08</t>
  </si>
  <si>
    <t>Delete useAtomicMediaJob once no consumer remains</t>
  </si>
  <si>
    <t>T11-S09</t>
  </si>
  <si>
    <t>Run the full Media suite</t>
  </si>
  <si>
    <t>vitest run src/containers/media src/hooks src/services/media -&gt; PASS incl. parity</t>
  </si>
  <si>
    <t>T11-S10</t>
  </si>
  <si>
    <t>Re-baseline the guard in a separate commit</t>
  </si>
  <si>
    <t>node scripts/rebaseline-selective-v2032.mjs; make test-selective-v2032</t>
  </si>
  <si>
    <t>T11-S11</t>
  </si>
  <si>
    <t>Commit (two commits)</t>
  </si>
  <si>
    <t>feat(media): drive the Media Studio from the provider platform; then chore(guard): re-baseline</t>
  </si>
  <si>
    <t>T12-S01</t>
  </si>
  <si>
    <t>Add a custom provider; bad URL isolates; enabling shows models; install progress; recoverable failure; masked API key</t>
  </si>
  <si>
    <t>T12-S02</t>
  </si>
  <si>
    <t>T12-S03</t>
  </si>
  <si>
    <t>Implement ProviderList</t>
  </si>
  <si>
    <t>Follow the existing Settings to Providers layout - do not invent a second visual language</t>
  </si>
  <si>
    <t>T12-S04</t>
  </si>
  <si>
    <t>Implement ModelCatalog</t>
  </si>
  <si>
    <t>Reuse existing download-progress primitives rather than adding new ones</t>
  </si>
  <si>
    <t>T12-S05</t>
  </si>
  <si>
    <t>Register the settings route</t>
  </si>
  <si>
    <t>T12-S06</t>
  </si>
  <si>
    <t>T12-S07</t>
  </si>
  <si>
    <t>feat(media): add media provider and model settings</t>
  </si>
  <si>
    <t>T13-S01</t>
  </si>
  <si>
    <t>Grid from index; filter by task/provider/date; provenance detail; re-run; re-run with new seed; delete; missing file placeholder</t>
  </si>
  <si>
    <t>T13-S02</t>
  </si>
  <si>
    <t>T13-S03</t>
  </si>
  <si>
    <t>Implement the grid</t>
  </si>
  <si>
    <t>Virtualise only if an existing primitive exists; otherwise paginate. No new dependency</t>
  </si>
  <si>
    <t>T13-S04</t>
  </si>
  <si>
    <t>Implement detail + actions</t>
  </si>
  <si>
    <t>T13-S05</t>
  </si>
  <si>
    <t>T13-S06</t>
  </si>
  <si>
    <t>feat(media): add the media library</t>
  </si>
  <si>
    <t>T14-S01</t>
  </si>
  <si>
    <t>Extract every hardcoded string</t>
  </si>
  <si>
    <t>Eight Media components plus the Task 12-13 surfaces</t>
  </si>
  <si>
    <t>T14-S02</t>
  </si>
  <si>
    <t>Define the key scheme</t>
  </si>
  <si>
    <t>media:studio.*, form.*, task.*, param.*, status.*, library.*, provider.*, error.*</t>
  </si>
  <si>
    <t>T14-S03</t>
  </si>
  <si>
    <t>Populate en/media.json</t>
  </si>
  <si>
    <t>T14-S04</t>
  </si>
  <si>
    <t>Add the 13 other locales</t>
  </si>
  <si>
    <t>cs, de-DE, es, fr, id, ja, ko, pl, pt-BR, ru, vn, zh-CN, zh-TW. Disclose any left untranslated</t>
  </si>
  <si>
    <t>T14-S05</t>
  </si>
  <si>
    <t>Wire label_key / help_key resolution in MediaParamField</t>
  </si>
  <si>
    <t>Fall back to the provider's label - third-party params will never have a locale entry</t>
  </si>
  <si>
    <t>T14-S06</t>
  </si>
  <si>
    <t>Run tests and lint</t>
  </si>
  <si>
    <t>T14-S07</t>
  </si>
  <si>
    <t>feat(media): localise the Media workspace</t>
  </si>
  <si>
    <t>T15-S01</t>
  </si>
  <si>
    <t>Write failing loader tests covering all seven failure modes</t>
  </si>
  <si>
    <t>Fresh cache; fetch ok; fetch fail + stale cache; fetch fail no cache; schema too new; malformed; no Tauri fetch</t>
  </si>
  <si>
    <t>T15-S02</t>
  </si>
  <si>
    <t>T15-S03</t>
  </si>
  <si>
    <t>Implement the loader</t>
  </si>
  <si>
    <t>MEDIA_REGISTRY_SCHEMA_VERSION, TTL 1h, keys atomic_media_registry_cache_v1 / _ts_v1, clearMediaRegistryCache()</t>
  </si>
  <si>
    <t>T15-S04</t>
  </si>
  <si>
    <t>Sanitise aggressively</t>
  </si>
  <si>
    <t>Reject unknown adapters, non-http(s) URLs, descriptors missing id/adapter. Remote input is untrusted</t>
  </si>
  <si>
    <t>T15-S05</t>
  </si>
  <si>
    <t>Add a Refresh button to Settings to Media</t>
  </si>
  <si>
    <t>Mirror Settings to Providers</t>
  </si>
  <si>
    <t>T15-S06</t>
  </si>
  <si>
    <t>Document the schema and open the companion PR against atomic-chat-conf</t>
  </si>
  <si>
    <t>T15-S07</t>
  </si>
  <si>
    <t>T15-S08</t>
  </si>
  <si>
    <t>feat(media): load the media catalog from the remote registry</t>
  </si>
  <si>
    <t>T16-S01</t>
  </si>
  <si>
    <t>Write the six ADRs</t>
  </si>
  <si>
    <t>From docs/decisions/_TEMPLATE.md</t>
  </si>
  <si>
    <t>T16-S02</t>
  </si>
  <si>
    <t>Index them</t>
  </si>
  <si>
    <t>One line each in docs/decisions/INDEX.md, correct section, bump the record count</t>
  </si>
  <si>
    <t>T16-S03</t>
  </si>
  <si>
    <t>Add the media data path to DEVELOP.md</t>
  </si>
  <si>
    <t>Include factory-reset and uninstaller behaviour</t>
  </si>
  <si>
    <t>T16-S04</t>
  </si>
  <si>
    <t>Confirm AGENTS.md stays under 200 lines</t>
  </si>
  <si>
    <t>At most one repository-map line plus a link</t>
  </si>
  <si>
    <t>T16-S05</t>
  </si>
  <si>
    <t>docs: record media platform decisions</t>
  </si>
  <si>
    <t>T17-S01</t>
  </si>
  <si>
    <t>yarn lint</t>
  </si>
  <si>
    <t>T17-S02</t>
  </si>
  <si>
    <t>make typecheck</t>
  </si>
  <si>
    <t>T17-S03</t>
  </si>
  <si>
    <t>yarn workspace @janhq/web-app vitest run</t>
  </si>
  <si>
    <t>T17-S04</t>
  </si>
  <si>
    <t>make verify-fast</t>
  </si>
  <si>
    <t>PASS including coverage floors</t>
  </si>
  <si>
    <t>T17-S05</t>
  </si>
  <si>
    <t>make test-selective-v2032</t>
  </si>
  <si>
    <t>PASS with the final manifest</t>
  </si>
  <si>
    <t>T17-S06</t>
  </si>
  <si>
    <t>make verify</t>
  </si>
  <si>
    <t>PASS. Report honestly if the local toolchain cannot run the Rust suites</t>
  </si>
  <si>
    <t>T17-S07</t>
  </si>
  <si>
    <t>git diff --check</t>
  </si>
  <si>
    <t>Clean</t>
  </si>
  <si>
    <t>T17-S08</t>
  </si>
  <si>
    <t>Confirm the four pre-existing dirty paths are still dirty and uncommitted</t>
  </si>
  <si>
    <t>downloads/index.html, extensions/yarn.lock, src-tauri/icons/icon.png, DownloadManegement.tsx</t>
  </si>
  <si>
    <t>T17-S09</t>
  </si>
  <si>
    <t>Manual smoke against a real worker</t>
  </si>
  <si>
    <t>Submit, watch, preview, library, re-run. THE ONLY STEP THAT NEEDS THE GPU BOX</t>
  </si>
  <si>
    <t>GPU box</t>
  </si>
  <si>
    <t>T17-S10</t>
  </si>
  <si>
    <t>Produce the evidence report</t>
  </si>
  <si>
    <t>All 12 items on the Evidence sheet</t>
  </si>
  <si>
    <t>T17-S11</t>
  </si>
  <si>
    <t>test: verify the model-agnostic media platform</t>
  </si>
  <si>
    <t>ID</t>
  </si>
  <si>
    <t>Question</t>
  </si>
  <si>
    <t>What it blocks</t>
  </si>
  <si>
    <t>Recommendation</t>
  </si>
  <si>
    <t>Answer</t>
  </si>
  <si>
    <t>Decided on</t>
  </si>
  <si>
    <t>Protected-surface guard: re-baseline (A), narrow the guard (B), or freeze and build around (C)?</t>
  </si>
  <si>
    <t>BLOCKS EVERYTHING - Task 0 and Task 11</t>
  </si>
  <si>
    <t>Option A: re-baseline, with the rule that it happens only in an isolated single-purpose commit. Option C does not actually work for couplings C3, C5 and C11.</t>
  </si>
  <si>
    <t>Open</t>
  </si>
  <si>
    <t>Are cloud media providers in scope at all?</t>
  </si>
  <si>
    <t>Task 6, ADR 7</t>
  </si>
  <si>
    <t>Answering local-only removes Task 6 cleanly and costs nothing - the adapter seam still exists and a remote adapter can be added later.</t>
  </si>
  <si>
    <t>Q3</t>
  </si>
  <si>
    <t>Should Atomic Chat supervise the worker process?</t>
  </si>
  <si>
    <t>Task 9, ADR 8</t>
  </si>
  <si>
    <t>Default-off behind a setting is the middle path. Today the user starts it by hand.</t>
  </si>
  <si>
    <t>Q4</t>
  </si>
  <si>
    <t>Confirm the materialisation invariant instead of widening CSP media-src to https:</t>
  </si>
  <si>
    <t>Task 8, Task 11 Step 6, ADR 3</t>
  </si>
  <si>
    <t>Keep CSP as it is and always materialise. Widening media-src weakens every surface, not just Media.</t>
  </si>
  <si>
    <t>Q5</t>
  </si>
  <si>
    <t>Any new runtime dependency at all?</t>
  </si>
  <si>
    <t>Task 9, Task 13 Step 3, Task 8 Step 5</t>
  </si>
  <si>
    <t>Plan aims for zero. AGENTS.md 6.6 requires a name-and-reason approval; ask at the point of need rather than assuming here.</t>
  </si>
  <si>
    <t>Q6</t>
  </si>
  <si>
    <t>Sequencing against the outstanding selective v2.0.32 work (Tasks 5-13 of that plan)</t>
  </si>
  <si>
    <t>Whole project - risk R10</t>
  </si>
  <si>
    <t>Finish and land the selective work first, then branch this platform off the result. GGUF filtering is mid-flight in the tree right now.</t>
  </si>
  <si>
    <t>#</t>
  </si>
  <si>
    <t>Evidence required</t>
  </si>
  <si>
    <t>Detail</t>
  </si>
  <si>
    <t>Captured where</t>
  </si>
  <si>
    <t>Files changed, grouped by layer</t>
  </si>
  <si>
    <t>contract / adapters / orchestration / UI / registry / docs</t>
  </si>
  <si>
    <t>make verify output, in full</t>
  </si>
  <si>
    <t>Name any suite that could not run locally. Do not imply it passed</t>
  </si>
  <si>
    <t>Parity test output</t>
  </si>
  <si>
    <t>Proves a v1 worker produces identical controls and an identical payload</t>
  </si>
  <si>
    <t>Conformance suite passing for every adapter implemented</t>
  </si>
  <si>
    <t>make test-selective-v2032 green</t>
  </si>
  <si>
    <t>List the re-baseline commits by SHA and the ranges they accept</t>
  </si>
  <si>
    <t>Proof the four pre-existing dirty paths are still dirty and uncommitted</t>
  </si>
  <si>
    <t>Atomic Code still absent</t>
  </si>
  <si>
    <t>Forbidden paths, documents and text</t>
  </si>
  <si>
    <t>Screenshots / recording</t>
  </si>
  <si>
    <t>Single-provider parity, two providers active, unknown-parameter model, library with provenance</t>
  </si>
  <si>
    <t>GPU box for the generation shots</t>
  </si>
  <si>
    <t>Any locale shipped untranslated, named explicitly</t>
  </si>
  <si>
    <t>Any manual step the environment could not perform</t>
  </si>
  <si>
    <t>GPU generation, real ComfyUI, packaged-build CSP check, signing follow-ups</t>
  </si>
  <si>
    <t>Mixed</t>
  </si>
  <si>
    <t>The six ADRs, with index lines</t>
  </si>
  <si>
    <t>Final commit SHAs per phase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</si>
</sst>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Calibri"/>
      <family val="2"/>
      <scheme val="minor"/>
    </font>
    <font>
      <b/>
      <sz val="14"/>
      <color rgb="FF1F3864"/>
      <name val="Arial"/>
    </font>
    <font>
      <b/>
      <sz val="10"/>
      <name val="Arial"/>
    </font>
    <font>
      <sz val="10"/>
      <name val="Arial"/>
    </font>
    <font>
      <b/>
      <sz val="11"/>
      <color rgb="FF1F3864"/>
      <name val="Arial"/>
    </font>
    <font>
      <b/>
      <sz val="10"/>
      <color rgb="FFFFFFFF"/>
      <name val="Arial"/>
    </font>
    <font>
      <i/>
      <sz val="9"/>
      <color rgb="FF808080"/>
      <name val="Arial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FFFF00"/>
      </patternFill>
    </fill>
    <fill>
      <patternFill patternType="solid">
        <fgColor rgb="FFF4CCCC"/>
      </patternFill>
    </fill>
    <fill>
      <patternFill patternType="solid">
        <fgColor rgb="FFFCE5C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0" borderId="0" xfId="0" applyFont="1"/>
    <xf numFmtId="0" fontId="5" fillId="2" borderId="1" xfId="0" applyFont="1" applyFill="1" applyBorder="1"/>
    <xf numFmtId="0" fontId="3" fillId="0" borderId="1" xfId="0" applyFont="1" applyBorder="1" applyAlignment="1">
      <alignment vertical="top"/>
    </xf>
    <xf numFmtId="0" fontId="3" fillId="0" borderId="0" xfId="0" applyFont="1"/>
    <xf numFmtId="164" fontId="3" fillId="0" borderId="0" xfId="0" applyNumberFormat="1" applyFont="1"/>
    <xf numFmtId="0" fontId="6" fillId="0" borderId="0" xfId="0" applyFont="1"/>
    <xf numFmtId="0" fontId="5" fillId="2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/>
    </xf>
    <xf numFmtId="0" fontId="2" fillId="5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/>
    </xf>
    <xf numFmtId="0" fontId="3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/>
    </xf>
    <xf numFmtId="0" fontId="3" fillId="5" borderId="1" xfId="0" applyFon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8"/>
  <sheetViews>
    <sheetView showGridLines="0" tabSelected="1" workbookViewId="0"/>
  </sheetViews>
  <sheetFormatPr defaultRowHeight="14.4" x14ac:dyDescent="0.3"/>
  <cols>
    <col min="1" max="1" width="26" customWidth="1"/>
    <col min="2" max="2" width="96" customWidth="1"/>
    <col min="3" max="7" width="14" customWidth="1"/>
  </cols>
  <sheetData>
    <row r="1" spans="1:2" ht="17.399999999999999" x14ac:dyDescent="0.3">
      <c r="A1" s="1" t="s">
        <v>0</v>
      </c>
    </row>
    <row r="3" spans="1:2" x14ac:dyDescent="0.3">
      <c r="A3" s="2" t="s">
        <v>1</v>
      </c>
      <c r="B3" s="3" t="s">
        <v>2</v>
      </c>
    </row>
    <row r="4" spans="1:2" x14ac:dyDescent="0.3">
      <c r="A4" s="2" t="s">
        <v>3</v>
      </c>
      <c r="B4" s="3" t="s">
        <v>4</v>
      </c>
    </row>
    <row r="5" spans="1:2" x14ac:dyDescent="0.3">
      <c r="A5" s="2" t="s">
        <v>5</v>
      </c>
      <c r="B5" s="3" t="s">
        <v>6</v>
      </c>
    </row>
    <row r="6" spans="1:2" x14ac:dyDescent="0.3">
      <c r="A6" s="2" t="s">
        <v>7</v>
      </c>
      <c r="B6" s="3" t="s">
        <v>8</v>
      </c>
    </row>
    <row r="8" spans="1:2" x14ac:dyDescent="0.3">
      <c r="A8" s="4" t="s">
        <v>9</v>
      </c>
    </row>
    <row r="10" spans="1:2" ht="26.4" x14ac:dyDescent="0.3">
      <c r="A10" s="2" t="s">
        <v>10</v>
      </c>
      <c r="B10" s="3" t="s">
        <v>11</v>
      </c>
    </row>
    <row r="11" spans="1:2" ht="26.4" x14ac:dyDescent="0.3">
      <c r="A11" s="2" t="s">
        <v>12</v>
      </c>
      <c r="B11" s="3" t="s">
        <v>13</v>
      </c>
    </row>
    <row r="12" spans="1:2" x14ac:dyDescent="0.3">
      <c r="A12" s="2" t="s">
        <v>14</v>
      </c>
      <c r="B12" s="3" t="s">
        <v>15</v>
      </c>
    </row>
    <row r="13" spans="1:2" x14ac:dyDescent="0.3">
      <c r="A13" s="2" t="s">
        <v>16</v>
      </c>
      <c r="B13" s="3" t="s">
        <v>17</v>
      </c>
    </row>
    <row r="14" spans="1:2" ht="26.4" x14ac:dyDescent="0.3">
      <c r="A14" s="2" t="s">
        <v>18</v>
      </c>
      <c r="B14" s="3" t="s">
        <v>19</v>
      </c>
    </row>
    <row r="15" spans="1:2" ht="26.4" x14ac:dyDescent="0.3">
      <c r="A15" s="2" t="s">
        <v>20</v>
      </c>
      <c r="B15" s="3" t="s">
        <v>21</v>
      </c>
    </row>
    <row r="17" spans="1:7" x14ac:dyDescent="0.3">
      <c r="A17" s="4" t="s">
        <v>22</v>
      </c>
    </row>
    <row r="19" spans="1:7" ht="26.4" x14ac:dyDescent="0.3">
      <c r="A19" s="2" t="s">
        <v>23</v>
      </c>
      <c r="B19" s="3" t="s">
        <v>24</v>
      </c>
    </row>
    <row r="20" spans="1:7" x14ac:dyDescent="0.3">
      <c r="A20" s="2" t="s">
        <v>25</v>
      </c>
      <c r="B20" s="3" t="s">
        <v>26</v>
      </c>
    </row>
    <row r="21" spans="1:7" x14ac:dyDescent="0.3">
      <c r="A21" s="2" t="s">
        <v>27</v>
      </c>
      <c r="B21" s="3" t="s">
        <v>28</v>
      </c>
    </row>
    <row r="23" spans="1:7" x14ac:dyDescent="0.3">
      <c r="A23" s="4" t="s">
        <v>29</v>
      </c>
    </row>
    <row r="25" spans="1:7" x14ac:dyDescent="0.3">
      <c r="A25" s="5" t="s">
        <v>30</v>
      </c>
      <c r="B25" s="5" t="s">
        <v>31</v>
      </c>
      <c r="C25" s="5" t="s">
        <v>32</v>
      </c>
      <c r="D25" s="5" t="s">
        <v>33</v>
      </c>
      <c r="E25" s="5" t="s">
        <v>34</v>
      </c>
      <c r="F25" s="5" t="s">
        <v>35</v>
      </c>
      <c r="G25" s="5" t="s">
        <v>36</v>
      </c>
    </row>
    <row r="26" spans="1:7" x14ac:dyDescent="0.3">
      <c r="A26" s="6" t="s">
        <v>37</v>
      </c>
      <c r="B26" s="6" t="s">
        <v>38</v>
      </c>
      <c r="C26" s="6">
        <v>3</v>
      </c>
      <c r="D26" s="6" t="s">
        <v>39</v>
      </c>
      <c r="E26" s="6" t="s">
        <v>40</v>
      </c>
      <c r="F26" s="6" t="s">
        <v>41</v>
      </c>
      <c r="G26" s="6" t="s">
        <v>42</v>
      </c>
    </row>
    <row r="28" spans="1:7" x14ac:dyDescent="0.3">
      <c r="A28" s="4" t="s">
        <v>43</v>
      </c>
    </row>
    <row r="29" spans="1:7" x14ac:dyDescent="0.3">
      <c r="A29" s="2" t="s">
        <v>44</v>
      </c>
      <c r="B29" s="7">
        <f>COUNTA(Tasks!A3:A20)</f>
        <v>18</v>
      </c>
    </row>
    <row r="30" spans="1:7" x14ac:dyDescent="0.3">
      <c r="A30" s="2" t="s">
        <v>45</v>
      </c>
      <c r="B30" s="7">
        <f>COUNTIF(Tasks!E3:E20,"Done")</f>
        <v>0</v>
      </c>
    </row>
    <row r="31" spans="1:7" x14ac:dyDescent="0.3">
      <c r="A31" s="2" t="s">
        <v>46</v>
      </c>
      <c r="B31" s="7">
        <f>COUNTIF(Tasks!E3:E20,"Skipped")</f>
        <v>0</v>
      </c>
    </row>
    <row r="32" spans="1:7" x14ac:dyDescent="0.3">
      <c r="A32" s="2" t="s">
        <v>47</v>
      </c>
      <c r="B32" s="7">
        <f>COUNTIF(Tasks!E3:E20,"Blocked")</f>
        <v>0</v>
      </c>
    </row>
    <row r="33" spans="1:2" x14ac:dyDescent="0.3">
      <c r="A33" s="2" t="s">
        <v>48</v>
      </c>
      <c r="B33" s="8">
        <f>IFERROR((B30+B31)/B29,0)</f>
        <v>0</v>
      </c>
    </row>
    <row r="34" spans="1:2" x14ac:dyDescent="0.3">
      <c r="A34" s="2" t="s">
        <v>49</v>
      </c>
      <c r="B34" s="7">
        <f>COUNTA(Steps!A2:A129)</f>
        <v>128</v>
      </c>
    </row>
    <row r="35" spans="1:2" x14ac:dyDescent="0.3">
      <c r="A35" s="2" t="s">
        <v>50</v>
      </c>
      <c r="B35" s="7">
        <f>COUNTIF(Steps!E2:E129,"Done")</f>
        <v>0</v>
      </c>
    </row>
    <row r="36" spans="1:2" x14ac:dyDescent="0.3">
      <c r="A36" s="2" t="s">
        <v>51</v>
      </c>
      <c r="B36" s="7">
        <f>COUNTIF(Steps!E2:E129,"Skipped")</f>
        <v>0</v>
      </c>
    </row>
    <row r="37" spans="1:2" x14ac:dyDescent="0.3">
      <c r="A37" s="2" t="s">
        <v>52</v>
      </c>
      <c r="B37" s="8">
        <f>IFERROR((B35+B36)/B34,0)</f>
        <v>0</v>
      </c>
    </row>
    <row r="38" spans="1:2" x14ac:dyDescent="0.3">
      <c r="A38" s="2" t="s">
        <v>53</v>
      </c>
      <c r="B38" s="7">
        <f>COUNTIF(Decisions!F2:F7,"Open")</f>
        <v>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"/>
  <sheetViews>
    <sheetView workbookViewId="0">
      <pane xSplit="2" ySplit="2" topLeftCell="C3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17" customWidth="1"/>
    <col min="3" max="3" width="46" customWidth="1"/>
    <col min="4" max="4" width="21" customWidth="1"/>
    <col min="5" max="5" width="13" customWidth="1"/>
    <col min="6" max="6" width="11" customWidth="1"/>
    <col min="7" max="7" width="16" customWidth="1"/>
    <col min="8" max="8" width="27" customWidth="1"/>
    <col min="9" max="9" width="13" customWidth="1"/>
    <col min="10" max="10" width="62" customWidth="1"/>
    <col min="11" max="11" width="26" customWidth="1"/>
  </cols>
  <sheetData>
    <row r="1" spans="1:11" x14ac:dyDescent="0.3">
      <c r="A1" s="9" t="s">
        <v>54</v>
      </c>
    </row>
    <row r="2" spans="1:11" x14ac:dyDescent="0.3">
      <c r="A2" s="10" t="s">
        <v>31</v>
      </c>
      <c r="B2" s="10" t="s">
        <v>55</v>
      </c>
      <c r="C2" s="10" t="s">
        <v>56</v>
      </c>
      <c r="D2" s="10" t="s">
        <v>57</v>
      </c>
      <c r="E2" s="10" t="s">
        <v>34</v>
      </c>
      <c r="F2" s="10" t="s">
        <v>35</v>
      </c>
      <c r="G2" s="10" t="s">
        <v>58</v>
      </c>
      <c r="H2" s="10" t="s">
        <v>59</v>
      </c>
      <c r="I2" s="10" t="s">
        <v>60</v>
      </c>
      <c r="J2" s="10" t="s">
        <v>61</v>
      </c>
      <c r="K2" s="10" t="s">
        <v>62</v>
      </c>
    </row>
    <row r="3" spans="1:11" ht="26.4" x14ac:dyDescent="0.3">
      <c r="A3" s="6" t="s">
        <v>63</v>
      </c>
      <c r="B3" s="11" t="s">
        <v>64</v>
      </c>
      <c r="C3" s="12" t="s">
        <v>65</v>
      </c>
      <c r="D3" s="6" t="s">
        <v>66</v>
      </c>
      <c r="E3" s="13" t="s">
        <v>67</v>
      </c>
      <c r="F3" s="13"/>
      <c r="G3" s="14" t="s">
        <v>68</v>
      </c>
      <c r="H3" s="14" t="s">
        <v>69</v>
      </c>
      <c r="I3" s="13"/>
      <c r="J3" s="14" t="s">
        <v>70</v>
      </c>
      <c r="K3" s="15"/>
    </row>
    <row r="4" spans="1:11" x14ac:dyDescent="0.3">
      <c r="A4" s="6" t="s">
        <v>38</v>
      </c>
      <c r="B4" s="11" t="s">
        <v>71</v>
      </c>
      <c r="C4" s="14" t="s">
        <v>72</v>
      </c>
      <c r="D4" s="6" t="s">
        <v>66</v>
      </c>
      <c r="E4" s="13" t="s">
        <v>67</v>
      </c>
      <c r="F4" s="13"/>
      <c r="G4" s="14" t="s">
        <v>63</v>
      </c>
      <c r="H4" s="14" t="s">
        <v>73</v>
      </c>
      <c r="I4" s="13"/>
      <c r="J4" s="14" t="s">
        <v>74</v>
      </c>
      <c r="K4" s="15"/>
    </row>
    <row r="5" spans="1:11" ht="39.6" x14ac:dyDescent="0.3">
      <c r="A5" s="6" t="s">
        <v>75</v>
      </c>
      <c r="B5" s="11" t="s">
        <v>71</v>
      </c>
      <c r="C5" s="14" t="s">
        <v>76</v>
      </c>
      <c r="D5" s="16" t="s">
        <v>77</v>
      </c>
      <c r="E5" s="13" t="s">
        <v>67</v>
      </c>
      <c r="F5" s="13"/>
      <c r="G5" s="14" t="s">
        <v>38</v>
      </c>
      <c r="H5" s="14" t="s">
        <v>73</v>
      </c>
      <c r="I5" s="13"/>
      <c r="J5" s="14" t="s">
        <v>78</v>
      </c>
      <c r="K5" s="15"/>
    </row>
    <row r="6" spans="1:11" ht="26.4" x14ac:dyDescent="0.3">
      <c r="A6" s="6" t="s">
        <v>79</v>
      </c>
      <c r="B6" s="11" t="s">
        <v>80</v>
      </c>
      <c r="C6" s="14" t="s">
        <v>81</v>
      </c>
      <c r="D6" s="6" t="s">
        <v>66</v>
      </c>
      <c r="E6" s="13" t="s">
        <v>67</v>
      </c>
      <c r="F6" s="13"/>
      <c r="G6" s="14" t="s">
        <v>75</v>
      </c>
      <c r="H6" s="14" t="s">
        <v>82</v>
      </c>
      <c r="I6" s="13"/>
      <c r="J6" s="14" t="s">
        <v>83</v>
      </c>
      <c r="K6" s="15"/>
    </row>
    <row r="7" spans="1:11" ht="26.4" x14ac:dyDescent="0.3">
      <c r="A7" s="6" t="s">
        <v>84</v>
      </c>
      <c r="B7" s="11" t="s">
        <v>80</v>
      </c>
      <c r="C7" s="14" t="s">
        <v>85</v>
      </c>
      <c r="D7" s="6" t="s">
        <v>66</v>
      </c>
      <c r="E7" s="13" t="s">
        <v>67</v>
      </c>
      <c r="F7" s="13"/>
      <c r="G7" s="14" t="s">
        <v>79</v>
      </c>
      <c r="H7" s="14" t="s">
        <v>82</v>
      </c>
      <c r="I7" s="13"/>
      <c r="J7" s="14" t="s">
        <v>86</v>
      </c>
      <c r="K7" s="15"/>
    </row>
    <row r="8" spans="1:11" ht="26.4" x14ac:dyDescent="0.3">
      <c r="A8" s="6" t="s">
        <v>87</v>
      </c>
      <c r="B8" s="11" t="s">
        <v>80</v>
      </c>
      <c r="C8" s="14" t="s">
        <v>88</v>
      </c>
      <c r="D8" s="6" t="s">
        <v>89</v>
      </c>
      <c r="E8" s="13" t="s">
        <v>67</v>
      </c>
      <c r="F8" s="13"/>
      <c r="G8" s="14" t="s">
        <v>84</v>
      </c>
      <c r="H8" s="14" t="s">
        <v>82</v>
      </c>
      <c r="I8" s="13"/>
      <c r="J8" s="14" t="s">
        <v>90</v>
      </c>
      <c r="K8" s="15"/>
    </row>
    <row r="9" spans="1:11" ht="26.4" x14ac:dyDescent="0.3">
      <c r="A9" s="6" t="s">
        <v>91</v>
      </c>
      <c r="B9" s="11" t="s">
        <v>80</v>
      </c>
      <c r="C9" s="14" t="s">
        <v>92</v>
      </c>
      <c r="D9" s="6" t="s">
        <v>66</v>
      </c>
      <c r="E9" s="13" t="s">
        <v>67</v>
      </c>
      <c r="F9" s="13"/>
      <c r="G9" s="14" t="s">
        <v>93</v>
      </c>
      <c r="H9" s="14" t="s">
        <v>82</v>
      </c>
      <c r="I9" s="13"/>
      <c r="J9" s="14" t="s">
        <v>94</v>
      </c>
      <c r="K9" s="15"/>
    </row>
    <row r="10" spans="1:11" ht="26.4" x14ac:dyDescent="0.3">
      <c r="A10" s="6" t="s">
        <v>95</v>
      </c>
      <c r="B10" s="11" t="s">
        <v>96</v>
      </c>
      <c r="C10" s="14" t="s">
        <v>97</v>
      </c>
      <c r="D10" s="6" t="s">
        <v>66</v>
      </c>
      <c r="E10" s="13" t="s">
        <v>67</v>
      </c>
      <c r="F10" s="13"/>
      <c r="G10" s="14" t="s">
        <v>84</v>
      </c>
      <c r="H10" s="14" t="s">
        <v>98</v>
      </c>
      <c r="I10" s="13"/>
      <c r="J10" s="14" t="s">
        <v>99</v>
      </c>
      <c r="K10" s="15"/>
    </row>
    <row r="11" spans="1:11" ht="26.4" x14ac:dyDescent="0.3">
      <c r="A11" s="6" t="s">
        <v>100</v>
      </c>
      <c r="B11" s="11" t="s">
        <v>96</v>
      </c>
      <c r="C11" s="14" t="s">
        <v>101</v>
      </c>
      <c r="D11" s="6" t="s">
        <v>66</v>
      </c>
      <c r="E11" s="13" t="s">
        <v>67</v>
      </c>
      <c r="F11" s="13"/>
      <c r="G11" s="14" t="s">
        <v>95</v>
      </c>
      <c r="H11" s="14" t="s">
        <v>98</v>
      </c>
      <c r="I11" s="13"/>
      <c r="J11" s="14" t="s">
        <v>102</v>
      </c>
      <c r="K11" s="15"/>
    </row>
    <row r="12" spans="1:11" ht="26.4" x14ac:dyDescent="0.3">
      <c r="A12" s="6" t="s">
        <v>103</v>
      </c>
      <c r="B12" s="11" t="s">
        <v>96</v>
      </c>
      <c r="C12" s="14" t="s">
        <v>104</v>
      </c>
      <c r="D12" s="6" t="s">
        <v>66</v>
      </c>
      <c r="E12" s="13" t="s">
        <v>67</v>
      </c>
      <c r="F12" s="13"/>
      <c r="G12" s="14" t="s">
        <v>105</v>
      </c>
      <c r="H12" s="14" t="s">
        <v>98</v>
      </c>
      <c r="I12" s="13"/>
      <c r="J12" s="14" t="s">
        <v>106</v>
      </c>
      <c r="K12" s="15"/>
    </row>
    <row r="13" spans="1:11" ht="26.4" x14ac:dyDescent="0.3">
      <c r="A13" s="6" t="s">
        <v>107</v>
      </c>
      <c r="B13" s="11" t="s">
        <v>108</v>
      </c>
      <c r="C13" s="14" t="s">
        <v>109</v>
      </c>
      <c r="D13" s="6" t="s">
        <v>66</v>
      </c>
      <c r="E13" s="13" t="s">
        <v>67</v>
      </c>
      <c r="F13" s="13"/>
      <c r="G13" s="14" t="s">
        <v>38</v>
      </c>
      <c r="H13" s="14" t="s">
        <v>110</v>
      </c>
      <c r="I13" s="13"/>
      <c r="J13" s="14" t="s">
        <v>111</v>
      </c>
      <c r="K13" s="15"/>
    </row>
    <row r="14" spans="1:11" ht="26.4" x14ac:dyDescent="0.3">
      <c r="A14" s="6" t="s">
        <v>112</v>
      </c>
      <c r="B14" s="11" t="s">
        <v>108</v>
      </c>
      <c r="C14" s="12" t="s">
        <v>113</v>
      </c>
      <c r="D14" s="6" t="s">
        <v>66</v>
      </c>
      <c r="E14" s="13" t="s">
        <v>67</v>
      </c>
      <c r="F14" s="13"/>
      <c r="G14" s="14" t="s">
        <v>114</v>
      </c>
      <c r="H14" s="14" t="s">
        <v>110</v>
      </c>
      <c r="I14" s="13"/>
      <c r="J14" s="14" t="s">
        <v>115</v>
      </c>
      <c r="K14" s="15"/>
    </row>
    <row r="15" spans="1:11" ht="26.4" x14ac:dyDescent="0.3">
      <c r="A15" s="6" t="s">
        <v>116</v>
      </c>
      <c r="B15" s="11" t="s">
        <v>108</v>
      </c>
      <c r="C15" s="14" t="s">
        <v>117</v>
      </c>
      <c r="D15" s="6" t="s">
        <v>66</v>
      </c>
      <c r="E15" s="13" t="s">
        <v>67</v>
      </c>
      <c r="F15" s="13"/>
      <c r="G15" s="14" t="s">
        <v>84</v>
      </c>
      <c r="H15" s="14" t="s">
        <v>110</v>
      </c>
      <c r="I15" s="13"/>
      <c r="J15" s="14" t="s">
        <v>118</v>
      </c>
      <c r="K15" s="15"/>
    </row>
    <row r="16" spans="1:11" ht="26.4" x14ac:dyDescent="0.3">
      <c r="A16" s="6" t="s">
        <v>119</v>
      </c>
      <c r="B16" s="11" t="s">
        <v>108</v>
      </c>
      <c r="C16" s="14" t="s">
        <v>120</v>
      </c>
      <c r="D16" s="6" t="s">
        <v>66</v>
      </c>
      <c r="E16" s="13" t="s">
        <v>67</v>
      </c>
      <c r="F16" s="13"/>
      <c r="G16" s="14" t="s">
        <v>100</v>
      </c>
      <c r="H16" s="14" t="s">
        <v>110</v>
      </c>
      <c r="I16" s="13"/>
      <c r="J16" s="14" t="s">
        <v>121</v>
      </c>
      <c r="K16" s="15"/>
    </row>
    <row r="17" spans="1:11" ht="26.4" x14ac:dyDescent="0.3">
      <c r="A17" s="6" t="s">
        <v>122</v>
      </c>
      <c r="B17" s="11" t="s">
        <v>108</v>
      </c>
      <c r="C17" s="14" t="s">
        <v>123</v>
      </c>
      <c r="D17" s="6" t="s">
        <v>66</v>
      </c>
      <c r="E17" s="13" t="s">
        <v>67</v>
      </c>
      <c r="F17" s="13"/>
      <c r="G17" s="14" t="s">
        <v>112</v>
      </c>
      <c r="H17" s="14" t="s">
        <v>110</v>
      </c>
      <c r="I17" s="13"/>
      <c r="J17" s="14" t="s">
        <v>124</v>
      </c>
      <c r="K17" s="15"/>
    </row>
    <row r="18" spans="1:11" x14ac:dyDescent="0.3">
      <c r="A18" s="6" t="s">
        <v>125</v>
      </c>
      <c r="B18" s="11" t="s">
        <v>126</v>
      </c>
      <c r="C18" s="14" t="s">
        <v>127</v>
      </c>
      <c r="D18" s="6" t="s">
        <v>66</v>
      </c>
      <c r="E18" s="13" t="s">
        <v>67</v>
      </c>
      <c r="F18" s="13"/>
      <c r="G18" s="14" t="s">
        <v>84</v>
      </c>
      <c r="H18" s="14" t="s">
        <v>128</v>
      </c>
      <c r="I18" s="13"/>
      <c r="J18" s="14" t="s">
        <v>129</v>
      </c>
      <c r="K18" s="15"/>
    </row>
    <row r="19" spans="1:11" ht="26.4" x14ac:dyDescent="0.3">
      <c r="A19" s="6" t="s">
        <v>130</v>
      </c>
      <c r="B19" s="11" t="s">
        <v>131</v>
      </c>
      <c r="C19" s="14" t="s">
        <v>132</v>
      </c>
      <c r="D19" s="6" t="s">
        <v>66</v>
      </c>
      <c r="E19" s="13" t="s">
        <v>67</v>
      </c>
      <c r="F19" s="13"/>
      <c r="G19" s="14" t="s">
        <v>125</v>
      </c>
      <c r="H19" s="14" t="s">
        <v>133</v>
      </c>
      <c r="I19" s="13"/>
      <c r="J19" s="14" t="s">
        <v>134</v>
      </c>
      <c r="K19" s="15"/>
    </row>
    <row r="20" spans="1:11" ht="26.4" x14ac:dyDescent="0.3">
      <c r="A20" s="6" t="s">
        <v>135</v>
      </c>
      <c r="B20" s="11" t="s">
        <v>131</v>
      </c>
      <c r="C20" s="14" t="s">
        <v>136</v>
      </c>
      <c r="D20" s="6" t="s">
        <v>137</v>
      </c>
      <c r="E20" s="13" t="s">
        <v>67</v>
      </c>
      <c r="F20" s="13"/>
      <c r="G20" s="14" t="s">
        <v>130</v>
      </c>
      <c r="H20" s="14" t="s">
        <v>133</v>
      </c>
      <c r="I20" s="13"/>
      <c r="J20" s="14" t="s">
        <v>138</v>
      </c>
      <c r="K20" s="15"/>
    </row>
  </sheetData>
  <autoFilter ref="A2:K20" xr:uid="{00000000-0009-0000-0000-000001000000}"/>
  <dataValidations count="1">
    <dataValidation type="list" allowBlank="1" sqref="E3:E20" xr:uid="{00000000-0002-0000-0100-000000000000}">
      <formula1>"Not started,In progress,Blocked,Done,Skipped,N/A"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29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1" customWidth="1"/>
    <col min="2" max="2" width="9" customWidth="1"/>
    <col min="3" max="3" width="7" customWidth="1"/>
    <col min="4" max="4" width="66" customWidth="1"/>
    <col min="5" max="5" width="13" customWidth="1"/>
    <col min="6" max="6" width="11" customWidth="1"/>
    <col min="7" max="7" width="62" customWidth="1"/>
    <col min="8" max="8" width="20" customWidth="1"/>
    <col min="9" max="9" width="26" customWidth="1"/>
  </cols>
  <sheetData>
    <row r="1" spans="1:9" x14ac:dyDescent="0.3">
      <c r="A1" s="10" t="s">
        <v>30</v>
      </c>
      <c r="B1" s="10" t="s">
        <v>31</v>
      </c>
      <c r="C1" s="10" t="s">
        <v>32</v>
      </c>
      <c r="D1" s="10" t="s">
        <v>33</v>
      </c>
      <c r="E1" s="10" t="s">
        <v>34</v>
      </c>
      <c r="F1" s="10" t="s">
        <v>35</v>
      </c>
      <c r="G1" s="10" t="s">
        <v>139</v>
      </c>
      <c r="H1" s="10" t="s">
        <v>57</v>
      </c>
      <c r="I1" s="10" t="s">
        <v>36</v>
      </c>
    </row>
    <row r="2" spans="1:9" x14ac:dyDescent="0.3">
      <c r="A2" s="6" t="s">
        <v>140</v>
      </c>
      <c r="B2" s="17" t="s">
        <v>63</v>
      </c>
      <c r="C2" s="6">
        <v>1</v>
      </c>
      <c r="D2" s="14" t="s">
        <v>141</v>
      </c>
      <c r="E2" s="13" t="s">
        <v>67</v>
      </c>
      <c r="F2" s="13"/>
      <c r="G2" s="14" t="s">
        <v>142</v>
      </c>
      <c r="H2" s="6" t="s">
        <v>66</v>
      </c>
      <c r="I2" s="15"/>
    </row>
    <row r="3" spans="1:9" x14ac:dyDescent="0.3">
      <c r="A3" s="6" t="s">
        <v>143</v>
      </c>
      <c r="B3" s="17" t="s">
        <v>63</v>
      </c>
      <c r="C3" s="6">
        <v>2</v>
      </c>
      <c r="D3" s="14" t="s">
        <v>144</v>
      </c>
      <c r="E3" s="13" t="s">
        <v>67</v>
      </c>
      <c r="F3" s="13"/>
      <c r="G3" s="14" t="s">
        <v>145</v>
      </c>
      <c r="H3" s="6" t="s">
        <v>66</v>
      </c>
      <c r="I3" s="15"/>
    </row>
    <row r="4" spans="1:9" ht="26.4" x14ac:dyDescent="0.3">
      <c r="A4" s="6" t="s">
        <v>146</v>
      </c>
      <c r="B4" s="17" t="s">
        <v>63</v>
      </c>
      <c r="C4" s="6">
        <v>3</v>
      </c>
      <c r="D4" s="14" t="s">
        <v>147</v>
      </c>
      <c r="E4" s="13" t="s">
        <v>67</v>
      </c>
      <c r="F4" s="13"/>
      <c r="G4" s="14" t="s">
        <v>148</v>
      </c>
      <c r="H4" s="6" t="s">
        <v>66</v>
      </c>
      <c r="I4" s="15"/>
    </row>
    <row r="5" spans="1:9" x14ac:dyDescent="0.3">
      <c r="A5" s="6" t="s">
        <v>149</v>
      </c>
      <c r="B5" s="17" t="s">
        <v>63</v>
      </c>
      <c r="C5" s="6">
        <v>4</v>
      </c>
      <c r="D5" s="14" t="s">
        <v>150</v>
      </c>
      <c r="E5" s="13" t="s">
        <v>67</v>
      </c>
      <c r="F5" s="13"/>
      <c r="G5" s="14" t="s">
        <v>151</v>
      </c>
      <c r="H5" s="6" t="s">
        <v>66</v>
      </c>
      <c r="I5" s="15"/>
    </row>
    <row r="6" spans="1:9" x14ac:dyDescent="0.3">
      <c r="A6" s="6" t="s">
        <v>152</v>
      </c>
      <c r="B6" s="17" t="s">
        <v>63</v>
      </c>
      <c r="C6" s="6">
        <v>5</v>
      </c>
      <c r="D6" s="14" t="s">
        <v>153</v>
      </c>
      <c r="E6" s="13" t="s">
        <v>67</v>
      </c>
      <c r="F6" s="13"/>
      <c r="G6" s="14" t="s">
        <v>154</v>
      </c>
      <c r="H6" s="6" t="s">
        <v>66</v>
      </c>
      <c r="I6" s="15"/>
    </row>
    <row r="7" spans="1:9" x14ac:dyDescent="0.3">
      <c r="A7" s="6" t="s">
        <v>155</v>
      </c>
      <c r="B7" s="17" t="s">
        <v>63</v>
      </c>
      <c r="C7" s="6">
        <v>6</v>
      </c>
      <c r="D7" s="14" t="s">
        <v>156</v>
      </c>
      <c r="E7" s="13" t="s">
        <v>67</v>
      </c>
      <c r="F7" s="13"/>
      <c r="G7" s="14" t="s">
        <v>157</v>
      </c>
      <c r="H7" s="6" t="s">
        <v>66</v>
      </c>
      <c r="I7" s="15"/>
    </row>
    <row r="8" spans="1:9" x14ac:dyDescent="0.3">
      <c r="A8" s="6" t="s">
        <v>158</v>
      </c>
      <c r="B8" s="17" t="s">
        <v>63</v>
      </c>
      <c r="C8" s="6">
        <v>7</v>
      </c>
      <c r="D8" s="14" t="s">
        <v>159</v>
      </c>
      <c r="E8" s="13" t="s">
        <v>67</v>
      </c>
      <c r="F8" s="13"/>
      <c r="G8" s="14" t="s">
        <v>160</v>
      </c>
      <c r="H8" s="6" t="s">
        <v>66</v>
      </c>
      <c r="I8" s="15"/>
    </row>
    <row r="9" spans="1:9" ht="26.4" x14ac:dyDescent="0.3">
      <c r="A9" s="6" t="s">
        <v>161</v>
      </c>
      <c r="B9" s="6" t="s">
        <v>38</v>
      </c>
      <c r="C9" s="6">
        <v>1</v>
      </c>
      <c r="D9" s="14" t="s">
        <v>162</v>
      </c>
      <c r="E9" s="13" t="s">
        <v>67</v>
      </c>
      <c r="F9" s="13"/>
      <c r="G9" s="14" t="s">
        <v>163</v>
      </c>
      <c r="H9" s="6" t="s">
        <v>66</v>
      </c>
      <c r="I9" s="15"/>
    </row>
    <row r="10" spans="1:9" ht="26.4" x14ac:dyDescent="0.3">
      <c r="A10" s="6" t="s">
        <v>164</v>
      </c>
      <c r="B10" s="6" t="s">
        <v>38</v>
      </c>
      <c r="C10" s="6">
        <v>2</v>
      </c>
      <c r="D10" s="14" t="s">
        <v>147</v>
      </c>
      <c r="E10" s="13" t="s">
        <v>67</v>
      </c>
      <c r="F10" s="13"/>
      <c r="G10" s="14" t="s">
        <v>165</v>
      </c>
      <c r="H10" s="6" t="s">
        <v>66</v>
      </c>
      <c r="I10" s="15"/>
    </row>
    <row r="11" spans="1:9" x14ac:dyDescent="0.3">
      <c r="A11" s="6" t="s">
        <v>37</v>
      </c>
      <c r="B11" s="6" t="s">
        <v>38</v>
      </c>
      <c r="C11" s="6">
        <v>3</v>
      </c>
      <c r="D11" s="14" t="s">
        <v>39</v>
      </c>
      <c r="E11" s="13" t="s">
        <v>67</v>
      </c>
      <c r="F11" s="13"/>
      <c r="G11" s="14" t="s">
        <v>166</v>
      </c>
      <c r="H11" s="6" t="s">
        <v>66</v>
      </c>
      <c r="I11" s="15"/>
    </row>
    <row r="12" spans="1:9" x14ac:dyDescent="0.3">
      <c r="A12" s="6" t="s">
        <v>167</v>
      </c>
      <c r="B12" s="6" t="s">
        <v>38</v>
      </c>
      <c r="C12" s="6">
        <v>4</v>
      </c>
      <c r="D12" s="14" t="s">
        <v>168</v>
      </c>
      <c r="E12" s="13" t="s">
        <v>67</v>
      </c>
      <c r="F12" s="13"/>
      <c r="G12" s="14" t="s">
        <v>169</v>
      </c>
      <c r="H12" s="6" t="s">
        <v>66</v>
      </c>
      <c r="I12" s="15"/>
    </row>
    <row r="13" spans="1:9" x14ac:dyDescent="0.3">
      <c r="A13" s="6" t="s">
        <v>170</v>
      </c>
      <c r="B13" s="6" t="s">
        <v>38</v>
      </c>
      <c r="C13" s="6">
        <v>5</v>
      </c>
      <c r="D13" s="14" t="s">
        <v>171</v>
      </c>
      <c r="E13" s="13" t="s">
        <v>67</v>
      </c>
      <c r="F13" s="13"/>
      <c r="G13" s="14" t="s">
        <v>172</v>
      </c>
      <c r="H13" s="6" t="s">
        <v>66</v>
      </c>
      <c r="I13" s="15"/>
    </row>
    <row r="14" spans="1:9" x14ac:dyDescent="0.3">
      <c r="A14" s="6" t="s">
        <v>173</v>
      </c>
      <c r="B14" s="6" t="s">
        <v>38</v>
      </c>
      <c r="C14" s="6">
        <v>6</v>
      </c>
      <c r="D14" s="14" t="s">
        <v>174</v>
      </c>
      <c r="E14" s="13" t="s">
        <v>67</v>
      </c>
      <c r="F14" s="13"/>
      <c r="G14" s="14" t="s">
        <v>175</v>
      </c>
      <c r="H14" s="6" t="s">
        <v>66</v>
      </c>
      <c r="I14" s="15"/>
    </row>
    <row r="15" spans="1:9" ht="26.4" x14ac:dyDescent="0.3">
      <c r="A15" s="6" t="s">
        <v>176</v>
      </c>
      <c r="B15" s="6" t="s">
        <v>75</v>
      </c>
      <c r="C15" s="6">
        <v>1</v>
      </c>
      <c r="D15" s="14" t="s">
        <v>177</v>
      </c>
      <c r="E15" s="13" t="s">
        <v>67</v>
      </c>
      <c r="F15" s="13"/>
      <c r="G15" s="14" t="s">
        <v>178</v>
      </c>
      <c r="H15" s="16" t="s">
        <v>77</v>
      </c>
      <c r="I15" s="15"/>
    </row>
    <row r="16" spans="1:9" ht="26.4" x14ac:dyDescent="0.3">
      <c r="A16" s="6" t="s">
        <v>179</v>
      </c>
      <c r="B16" s="6" t="s">
        <v>75</v>
      </c>
      <c r="C16" s="6">
        <v>2</v>
      </c>
      <c r="D16" s="14" t="s">
        <v>180</v>
      </c>
      <c r="E16" s="13" t="s">
        <v>67</v>
      </c>
      <c r="F16" s="13"/>
      <c r="G16" s="14" t="s">
        <v>181</v>
      </c>
      <c r="H16" s="6" t="s">
        <v>66</v>
      </c>
      <c r="I16" s="15"/>
    </row>
    <row r="17" spans="1:9" x14ac:dyDescent="0.3">
      <c r="A17" s="6" t="s">
        <v>182</v>
      </c>
      <c r="B17" s="6" t="s">
        <v>75</v>
      </c>
      <c r="C17" s="6">
        <v>3</v>
      </c>
      <c r="D17" s="14" t="s">
        <v>147</v>
      </c>
      <c r="E17" s="13" t="s">
        <v>67</v>
      </c>
      <c r="F17" s="13"/>
      <c r="G17" s="14" t="s">
        <v>183</v>
      </c>
      <c r="H17" s="6" t="s">
        <v>66</v>
      </c>
      <c r="I17" s="15"/>
    </row>
    <row r="18" spans="1:9" ht="26.4" x14ac:dyDescent="0.3">
      <c r="A18" s="6" t="s">
        <v>184</v>
      </c>
      <c r="B18" s="6" t="s">
        <v>75</v>
      </c>
      <c r="C18" s="6">
        <v>4</v>
      </c>
      <c r="D18" s="14" t="s">
        <v>185</v>
      </c>
      <c r="E18" s="13" t="s">
        <v>67</v>
      </c>
      <c r="F18" s="13"/>
      <c r="G18" s="14" t="s">
        <v>186</v>
      </c>
      <c r="H18" s="6" t="s">
        <v>66</v>
      </c>
      <c r="I18" s="15"/>
    </row>
    <row r="19" spans="1:9" x14ac:dyDescent="0.3">
      <c r="A19" s="6" t="s">
        <v>187</v>
      </c>
      <c r="B19" s="6" t="s">
        <v>75</v>
      </c>
      <c r="C19" s="6">
        <v>5</v>
      </c>
      <c r="D19" s="14" t="s">
        <v>188</v>
      </c>
      <c r="E19" s="13" t="s">
        <v>67</v>
      </c>
      <c r="F19" s="13"/>
      <c r="G19" s="14" t="s">
        <v>189</v>
      </c>
      <c r="H19" s="6" t="s">
        <v>66</v>
      </c>
      <c r="I19" s="15"/>
    </row>
    <row r="20" spans="1:9" x14ac:dyDescent="0.3">
      <c r="A20" s="6" t="s">
        <v>190</v>
      </c>
      <c r="B20" s="6" t="s">
        <v>75</v>
      </c>
      <c r="C20" s="6">
        <v>6</v>
      </c>
      <c r="D20" s="14" t="s">
        <v>191</v>
      </c>
      <c r="E20" s="13" t="s">
        <v>67</v>
      </c>
      <c r="F20" s="13"/>
      <c r="G20" s="14" t="s">
        <v>192</v>
      </c>
      <c r="H20" s="6" t="s">
        <v>66</v>
      </c>
      <c r="I20" s="15"/>
    </row>
    <row r="21" spans="1:9" x14ac:dyDescent="0.3">
      <c r="A21" s="6" t="s">
        <v>193</v>
      </c>
      <c r="B21" s="6" t="s">
        <v>75</v>
      </c>
      <c r="C21" s="6">
        <v>7</v>
      </c>
      <c r="D21" s="14" t="s">
        <v>194</v>
      </c>
      <c r="E21" s="13" t="s">
        <v>67</v>
      </c>
      <c r="F21" s="13"/>
      <c r="G21" s="14" t="s">
        <v>195</v>
      </c>
      <c r="H21" s="6" t="s">
        <v>66</v>
      </c>
      <c r="I21" s="15"/>
    </row>
    <row r="22" spans="1:9" x14ac:dyDescent="0.3">
      <c r="A22" s="6" t="s">
        <v>196</v>
      </c>
      <c r="B22" s="6" t="s">
        <v>75</v>
      </c>
      <c r="C22" s="6">
        <v>8</v>
      </c>
      <c r="D22" s="14" t="s">
        <v>174</v>
      </c>
      <c r="E22" s="13" t="s">
        <v>67</v>
      </c>
      <c r="F22" s="13"/>
      <c r="G22" s="14" t="s">
        <v>197</v>
      </c>
      <c r="H22" s="6" t="s">
        <v>66</v>
      </c>
      <c r="I22" s="15"/>
    </row>
    <row r="23" spans="1:9" ht="26.4" x14ac:dyDescent="0.3">
      <c r="A23" s="6" t="s">
        <v>198</v>
      </c>
      <c r="B23" s="6" t="s">
        <v>79</v>
      </c>
      <c r="C23" s="6">
        <v>1</v>
      </c>
      <c r="D23" s="14" t="s">
        <v>199</v>
      </c>
      <c r="E23" s="13" t="s">
        <v>67</v>
      </c>
      <c r="F23" s="13"/>
      <c r="G23" s="14" t="s">
        <v>200</v>
      </c>
      <c r="H23" s="6" t="s">
        <v>66</v>
      </c>
      <c r="I23" s="15"/>
    </row>
    <row r="24" spans="1:9" x14ac:dyDescent="0.3">
      <c r="A24" s="6" t="s">
        <v>201</v>
      </c>
      <c r="B24" s="6" t="s">
        <v>79</v>
      </c>
      <c r="C24" s="6">
        <v>2</v>
      </c>
      <c r="D24" s="14" t="s">
        <v>202</v>
      </c>
      <c r="E24" s="13" t="s">
        <v>67</v>
      </c>
      <c r="F24" s="13"/>
      <c r="G24" s="14" t="s">
        <v>203</v>
      </c>
      <c r="H24" s="6" t="s">
        <v>66</v>
      </c>
      <c r="I24" s="15"/>
    </row>
    <row r="25" spans="1:9" ht="26.4" x14ac:dyDescent="0.3">
      <c r="A25" s="6" t="s">
        <v>204</v>
      </c>
      <c r="B25" s="6" t="s">
        <v>79</v>
      </c>
      <c r="C25" s="6">
        <v>3</v>
      </c>
      <c r="D25" s="14" t="s">
        <v>205</v>
      </c>
      <c r="E25" s="13" t="s">
        <v>67</v>
      </c>
      <c r="F25" s="13"/>
      <c r="G25" s="14" t="s">
        <v>206</v>
      </c>
      <c r="H25" s="6" t="s">
        <v>66</v>
      </c>
      <c r="I25" s="15"/>
    </row>
    <row r="26" spans="1:9" x14ac:dyDescent="0.3">
      <c r="A26" s="6" t="s">
        <v>207</v>
      </c>
      <c r="B26" s="6" t="s">
        <v>79</v>
      </c>
      <c r="C26" s="6">
        <v>4</v>
      </c>
      <c r="D26" s="14" t="s">
        <v>208</v>
      </c>
      <c r="E26" s="13" t="s">
        <v>67</v>
      </c>
      <c r="F26" s="13"/>
      <c r="G26" s="14" t="s">
        <v>209</v>
      </c>
      <c r="H26" s="6" t="s">
        <v>66</v>
      </c>
      <c r="I26" s="15"/>
    </row>
    <row r="27" spans="1:9" x14ac:dyDescent="0.3">
      <c r="A27" s="6" t="s">
        <v>210</v>
      </c>
      <c r="B27" s="6" t="s">
        <v>79</v>
      </c>
      <c r="C27" s="6">
        <v>5</v>
      </c>
      <c r="D27" s="14" t="s">
        <v>211</v>
      </c>
      <c r="E27" s="13" t="s">
        <v>67</v>
      </c>
      <c r="F27" s="13"/>
      <c r="G27" s="14" t="s">
        <v>212</v>
      </c>
      <c r="H27" s="6" t="s">
        <v>66</v>
      </c>
      <c r="I27" s="15"/>
    </row>
    <row r="28" spans="1:9" x14ac:dyDescent="0.3">
      <c r="A28" s="6" t="s">
        <v>213</v>
      </c>
      <c r="B28" s="6" t="s">
        <v>79</v>
      </c>
      <c r="C28" s="6">
        <v>6</v>
      </c>
      <c r="D28" s="14" t="s">
        <v>174</v>
      </c>
      <c r="E28" s="13" t="s">
        <v>67</v>
      </c>
      <c r="F28" s="13"/>
      <c r="G28" s="14" t="s">
        <v>214</v>
      </c>
      <c r="H28" s="6" t="s">
        <v>66</v>
      </c>
      <c r="I28" s="15"/>
    </row>
    <row r="29" spans="1:9" ht="26.4" x14ac:dyDescent="0.3">
      <c r="A29" s="6" t="s">
        <v>215</v>
      </c>
      <c r="B29" s="6" t="s">
        <v>84</v>
      </c>
      <c r="C29" s="6">
        <v>1</v>
      </c>
      <c r="D29" s="14" t="s">
        <v>216</v>
      </c>
      <c r="E29" s="13" t="s">
        <v>67</v>
      </c>
      <c r="F29" s="13"/>
      <c r="G29" s="14" t="s">
        <v>217</v>
      </c>
      <c r="H29" s="6" t="s">
        <v>66</v>
      </c>
      <c r="I29" s="15"/>
    </row>
    <row r="30" spans="1:9" x14ac:dyDescent="0.3">
      <c r="A30" s="6" t="s">
        <v>218</v>
      </c>
      <c r="B30" s="6" t="s">
        <v>84</v>
      </c>
      <c r="C30" s="6">
        <v>2</v>
      </c>
      <c r="D30" s="14" t="s">
        <v>147</v>
      </c>
      <c r="E30" s="13" t="s">
        <v>67</v>
      </c>
      <c r="F30" s="13"/>
      <c r="G30" s="14" t="s">
        <v>219</v>
      </c>
      <c r="H30" s="6" t="s">
        <v>66</v>
      </c>
      <c r="I30" s="15"/>
    </row>
    <row r="31" spans="1:9" ht="26.4" x14ac:dyDescent="0.3">
      <c r="A31" s="6" t="s">
        <v>220</v>
      </c>
      <c r="B31" s="6" t="s">
        <v>84</v>
      </c>
      <c r="C31" s="6">
        <v>3</v>
      </c>
      <c r="D31" s="14" t="s">
        <v>221</v>
      </c>
      <c r="E31" s="13" t="s">
        <v>67</v>
      </c>
      <c r="F31" s="13"/>
      <c r="G31" s="14" t="s">
        <v>222</v>
      </c>
      <c r="H31" s="6" t="s">
        <v>66</v>
      </c>
      <c r="I31" s="15"/>
    </row>
    <row r="32" spans="1:9" ht="26.4" x14ac:dyDescent="0.3">
      <c r="A32" s="6" t="s">
        <v>223</v>
      </c>
      <c r="B32" s="6" t="s">
        <v>84</v>
      </c>
      <c r="C32" s="6">
        <v>4</v>
      </c>
      <c r="D32" s="14" t="s">
        <v>224</v>
      </c>
      <c r="E32" s="13" t="s">
        <v>67</v>
      </c>
      <c r="F32" s="13"/>
      <c r="G32" s="14" t="s">
        <v>225</v>
      </c>
      <c r="H32" s="6" t="s">
        <v>66</v>
      </c>
      <c r="I32" s="15"/>
    </row>
    <row r="33" spans="1:9" x14ac:dyDescent="0.3">
      <c r="A33" s="6" t="s">
        <v>226</v>
      </c>
      <c r="B33" s="6" t="s">
        <v>84</v>
      </c>
      <c r="C33" s="6">
        <v>5</v>
      </c>
      <c r="D33" s="14" t="s">
        <v>227</v>
      </c>
      <c r="E33" s="13" t="s">
        <v>67</v>
      </c>
      <c r="F33" s="13"/>
      <c r="G33" s="14" t="s">
        <v>228</v>
      </c>
      <c r="H33" s="6" t="s">
        <v>66</v>
      </c>
      <c r="I33" s="15"/>
    </row>
    <row r="34" spans="1:9" x14ac:dyDescent="0.3">
      <c r="A34" s="6" t="s">
        <v>229</v>
      </c>
      <c r="B34" s="6" t="s">
        <v>84</v>
      </c>
      <c r="C34" s="6">
        <v>6</v>
      </c>
      <c r="D34" s="14" t="s">
        <v>230</v>
      </c>
      <c r="E34" s="13" t="s">
        <v>67</v>
      </c>
      <c r="F34" s="13"/>
      <c r="G34" s="14" t="s">
        <v>212</v>
      </c>
      <c r="H34" s="6" t="s">
        <v>66</v>
      </c>
      <c r="I34" s="15"/>
    </row>
    <row r="35" spans="1:9" x14ac:dyDescent="0.3">
      <c r="A35" s="6" t="s">
        <v>231</v>
      </c>
      <c r="B35" s="6" t="s">
        <v>84</v>
      </c>
      <c r="C35" s="6">
        <v>7</v>
      </c>
      <c r="D35" s="14" t="s">
        <v>174</v>
      </c>
      <c r="E35" s="13" t="s">
        <v>67</v>
      </c>
      <c r="F35" s="13"/>
      <c r="G35" s="14" t="s">
        <v>232</v>
      </c>
      <c r="H35" s="6" t="s">
        <v>66</v>
      </c>
      <c r="I35" s="15"/>
    </row>
    <row r="36" spans="1:9" ht="26.4" x14ac:dyDescent="0.3">
      <c r="A36" s="6" t="s">
        <v>233</v>
      </c>
      <c r="B36" s="6" t="s">
        <v>87</v>
      </c>
      <c r="C36" s="6">
        <v>1</v>
      </c>
      <c r="D36" s="14" t="s">
        <v>234</v>
      </c>
      <c r="E36" s="13" t="s">
        <v>67</v>
      </c>
      <c r="F36" s="13"/>
      <c r="G36" s="14" t="s">
        <v>235</v>
      </c>
      <c r="H36" s="16" t="s">
        <v>89</v>
      </c>
      <c r="I36" s="15"/>
    </row>
    <row r="37" spans="1:9" x14ac:dyDescent="0.3">
      <c r="A37" s="6" t="s">
        <v>236</v>
      </c>
      <c r="B37" s="6" t="s">
        <v>87</v>
      </c>
      <c r="C37" s="6">
        <v>2</v>
      </c>
      <c r="D37" s="14" t="s">
        <v>237</v>
      </c>
      <c r="E37" s="13" t="s">
        <v>67</v>
      </c>
      <c r="F37" s="13"/>
      <c r="G37" s="14" t="s">
        <v>238</v>
      </c>
      <c r="H37" s="16" t="s">
        <v>89</v>
      </c>
      <c r="I37" s="15"/>
    </row>
    <row r="38" spans="1:9" ht="26.4" x14ac:dyDescent="0.3">
      <c r="A38" s="6" t="s">
        <v>239</v>
      </c>
      <c r="B38" s="6" t="s">
        <v>87</v>
      </c>
      <c r="C38" s="6">
        <v>3</v>
      </c>
      <c r="D38" s="14" t="s">
        <v>240</v>
      </c>
      <c r="E38" s="13" t="s">
        <v>67</v>
      </c>
      <c r="F38" s="13"/>
      <c r="G38" s="14" t="s">
        <v>241</v>
      </c>
      <c r="H38" s="6" t="s">
        <v>66</v>
      </c>
      <c r="I38" s="15"/>
    </row>
    <row r="39" spans="1:9" x14ac:dyDescent="0.3">
      <c r="A39" s="6" t="s">
        <v>242</v>
      </c>
      <c r="B39" s="6" t="s">
        <v>87</v>
      </c>
      <c r="C39" s="6">
        <v>4</v>
      </c>
      <c r="D39" s="14" t="s">
        <v>243</v>
      </c>
      <c r="E39" s="13" t="s">
        <v>67</v>
      </c>
      <c r="F39" s="13"/>
      <c r="G39" s="14" t="s">
        <v>244</v>
      </c>
      <c r="H39" s="6" t="s">
        <v>66</v>
      </c>
      <c r="I39" s="15"/>
    </row>
    <row r="40" spans="1:9" x14ac:dyDescent="0.3">
      <c r="A40" s="6" t="s">
        <v>245</v>
      </c>
      <c r="B40" s="6" t="s">
        <v>87</v>
      </c>
      <c r="C40" s="6">
        <v>5</v>
      </c>
      <c r="D40" s="14" t="s">
        <v>246</v>
      </c>
      <c r="E40" s="13" t="s">
        <v>67</v>
      </c>
      <c r="F40" s="13"/>
      <c r="G40" s="14" t="s">
        <v>247</v>
      </c>
      <c r="H40" s="6" t="s">
        <v>66</v>
      </c>
      <c r="I40" s="15"/>
    </row>
    <row r="41" spans="1:9" x14ac:dyDescent="0.3">
      <c r="A41" s="6" t="s">
        <v>248</v>
      </c>
      <c r="B41" s="6" t="s">
        <v>87</v>
      </c>
      <c r="C41" s="6">
        <v>6</v>
      </c>
      <c r="D41" s="14" t="s">
        <v>174</v>
      </c>
      <c r="E41" s="13" t="s">
        <v>67</v>
      </c>
      <c r="F41" s="13"/>
      <c r="G41" s="14" t="s">
        <v>249</v>
      </c>
      <c r="H41" s="6" t="s">
        <v>66</v>
      </c>
      <c r="I41" s="15"/>
    </row>
    <row r="42" spans="1:9" x14ac:dyDescent="0.3">
      <c r="A42" s="6" t="s">
        <v>250</v>
      </c>
      <c r="B42" s="6" t="s">
        <v>91</v>
      </c>
      <c r="C42" s="6">
        <v>1</v>
      </c>
      <c r="D42" s="14" t="s">
        <v>251</v>
      </c>
      <c r="E42" s="13" t="s">
        <v>67</v>
      </c>
      <c r="F42" s="13"/>
      <c r="G42" s="14" t="s">
        <v>252</v>
      </c>
      <c r="H42" s="6" t="s">
        <v>66</v>
      </c>
      <c r="I42" s="15"/>
    </row>
    <row r="43" spans="1:9" ht="26.4" x14ac:dyDescent="0.3">
      <c r="A43" s="6" t="s">
        <v>253</v>
      </c>
      <c r="B43" s="6" t="s">
        <v>91</v>
      </c>
      <c r="C43" s="6">
        <v>2</v>
      </c>
      <c r="D43" s="14" t="s">
        <v>254</v>
      </c>
      <c r="E43" s="13" t="s">
        <v>67</v>
      </c>
      <c r="F43" s="13"/>
      <c r="G43" s="14" t="s">
        <v>255</v>
      </c>
      <c r="H43" s="6" t="s">
        <v>66</v>
      </c>
      <c r="I43" s="15"/>
    </row>
    <row r="44" spans="1:9" x14ac:dyDescent="0.3">
      <c r="A44" s="6" t="s">
        <v>256</v>
      </c>
      <c r="B44" s="6" t="s">
        <v>91</v>
      </c>
      <c r="C44" s="6">
        <v>3</v>
      </c>
      <c r="D44" s="14" t="s">
        <v>257</v>
      </c>
      <c r="E44" s="13" t="s">
        <v>67</v>
      </c>
      <c r="F44" s="13"/>
      <c r="G44" s="14"/>
      <c r="H44" s="6" t="s">
        <v>66</v>
      </c>
      <c r="I44" s="15"/>
    </row>
    <row r="45" spans="1:9" x14ac:dyDescent="0.3">
      <c r="A45" s="6" t="s">
        <v>258</v>
      </c>
      <c r="B45" s="6" t="s">
        <v>91</v>
      </c>
      <c r="C45" s="6">
        <v>4</v>
      </c>
      <c r="D45" s="14" t="s">
        <v>259</v>
      </c>
      <c r="E45" s="13" t="s">
        <v>67</v>
      </c>
      <c r="F45" s="13"/>
      <c r="G45" s="14" t="s">
        <v>260</v>
      </c>
      <c r="H45" s="6" t="s">
        <v>66</v>
      </c>
      <c r="I45" s="15"/>
    </row>
    <row r="46" spans="1:9" x14ac:dyDescent="0.3">
      <c r="A46" s="6" t="s">
        <v>261</v>
      </c>
      <c r="B46" s="6" t="s">
        <v>91</v>
      </c>
      <c r="C46" s="6">
        <v>5</v>
      </c>
      <c r="D46" s="14" t="s">
        <v>262</v>
      </c>
      <c r="E46" s="13" t="s">
        <v>67</v>
      </c>
      <c r="F46" s="13"/>
      <c r="G46" s="14" t="s">
        <v>212</v>
      </c>
      <c r="H46" s="6" t="s">
        <v>66</v>
      </c>
      <c r="I46" s="15"/>
    </row>
    <row r="47" spans="1:9" x14ac:dyDescent="0.3">
      <c r="A47" s="6" t="s">
        <v>263</v>
      </c>
      <c r="B47" s="6" t="s">
        <v>91</v>
      </c>
      <c r="C47" s="6">
        <v>6</v>
      </c>
      <c r="D47" s="14" t="s">
        <v>174</v>
      </c>
      <c r="E47" s="13" t="s">
        <v>67</v>
      </c>
      <c r="F47" s="13"/>
      <c r="G47" s="14" t="s">
        <v>264</v>
      </c>
      <c r="H47" s="6" t="s">
        <v>66</v>
      </c>
      <c r="I47" s="15"/>
    </row>
    <row r="48" spans="1:9" ht="26.4" x14ac:dyDescent="0.3">
      <c r="A48" s="6" t="s">
        <v>265</v>
      </c>
      <c r="B48" s="6" t="s">
        <v>95</v>
      </c>
      <c r="C48" s="6">
        <v>1</v>
      </c>
      <c r="D48" s="14" t="s">
        <v>254</v>
      </c>
      <c r="E48" s="13" t="s">
        <v>67</v>
      </c>
      <c r="F48" s="13"/>
      <c r="G48" s="14" t="s">
        <v>266</v>
      </c>
      <c r="H48" s="6" t="s">
        <v>66</v>
      </c>
      <c r="I48" s="15"/>
    </row>
    <row r="49" spans="1:9" x14ac:dyDescent="0.3">
      <c r="A49" s="6" t="s">
        <v>267</v>
      </c>
      <c r="B49" s="6" t="s">
        <v>95</v>
      </c>
      <c r="C49" s="6">
        <v>2</v>
      </c>
      <c r="D49" s="14" t="s">
        <v>147</v>
      </c>
      <c r="E49" s="13" t="s">
        <v>67</v>
      </c>
      <c r="F49" s="13"/>
      <c r="G49" s="14" t="s">
        <v>219</v>
      </c>
      <c r="H49" s="6" t="s">
        <v>66</v>
      </c>
      <c r="I49" s="15"/>
    </row>
    <row r="50" spans="1:9" x14ac:dyDescent="0.3">
      <c r="A50" s="6" t="s">
        <v>268</v>
      </c>
      <c r="B50" s="6" t="s">
        <v>95</v>
      </c>
      <c r="C50" s="6">
        <v>3</v>
      </c>
      <c r="D50" s="14" t="s">
        <v>269</v>
      </c>
      <c r="E50" s="13" t="s">
        <v>67</v>
      </c>
      <c r="F50" s="13"/>
      <c r="G50" s="14" t="s">
        <v>270</v>
      </c>
      <c r="H50" s="6" t="s">
        <v>66</v>
      </c>
      <c r="I50" s="15"/>
    </row>
    <row r="51" spans="1:9" x14ac:dyDescent="0.3">
      <c r="A51" s="6" t="s">
        <v>271</v>
      </c>
      <c r="B51" s="6" t="s">
        <v>95</v>
      </c>
      <c r="C51" s="6">
        <v>4</v>
      </c>
      <c r="D51" s="14" t="s">
        <v>272</v>
      </c>
      <c r="E51" s="13" t="s">
        <v>67</v>
      </c>
      <c r="F51" s="13"/>
      <c r="G51" s="14" t="s">
        <v>273</v>
      </c>
      <c r="H51" s="6" t="s">
        <v>66</v>
      </c>
      <c r="I51" s="15"/>
    </row>
    <row r="52" spans="1:9" ht="26.4" x14ac:dyDescent="0.3">
      <c r="A52" s="6" t="s">
        <v>274</v>
      </c>
      <c r="B52" s="6" t="s">
        <v>95</v>
      </c>
      <c r="C52" s="6">
        <v>5</v>
      </c>
      <c r="D52" s="14" t="s">
        <v>275</v>
      </c>
      <c r="E52" s="13" t="s">
        <v>67</v>
      </c>
      <c r="F52" s="13"/>
      <c r="G52" s="14" t="s">
        <v>276</v>
      </c>
      <c r="H52" s="6" t="s">
        <v>66</v>
      </c>
      <c r="I52" s="15"/>
    </row>
    <row r="53" spans="1:9" x14ac:dyDescent="0.3">
      <c r="A53" s="6" t="s">
        <v>277</v>
      </c>
      <c r="B53" s="6" t="s">
        <v>95</v>
      </c>
      <c r="C53" s="6">
        <v>6</v>
      </c>
      <c r="D53" s="14" t="s">
        <v>230</v>
      </c>
      <c r="E53" s="13" t="s">
        <v>67</v>
      </c>
      <c r="F53" s="13"/>
      <c r="G53" s="14" t="s">
        <v>212</v>
      </c>
      <c r="H53" s="6" t="s">
        <v>66</v>
      </c>
      <c r="I53" s="15"/>
    </row>
    <row r="54" spans="1:9" x14ac:dyDescent="0.3">
      <c r="A54" s="6" t="s">
        <v>278</v>
      </c>
      <c r="B54" s="6" t="s">
        <v>95</v>
      </c>
      <c r="C54" s="6">
        <v>7</v>
      </c>
      <c r="D54" s="14" t="s">
        <v>174</v>
      </c>
      <c r="E54" s="13" t="s">
        <v>67</v>
      </c>
      <c r="F54" s="13"/>
      <c r="G54" s="14" t="s">
        <v>279</v>
      </c>
      <c r="H54" s="6" t="s">
        <v>66</v>
      </c>
      <c r="I54" s="15"/>
    </row>
    <row r="55" spans="1:9" ht="26.4" x14ac:dyDescent="0.3">
      <c r="A55" s="6" t="s">
        <v>280</v>
      </c>
      <c r="B55" s="6" t="s">
        <v>100</v>
      </c>
      <c r="C55" s="6">
        <v>1</v>
      </c>
      <c r="D55" s="14" t="s">
        <v>254</v>
      </c>
      <c r="E55" s="13" t="s">
        <v>67</v>
      </c>
      <c r="F55" s="13"/>
      <c r="G55" s="14" t="s">
        <v>281</v>
      </c>
      <c r="H55" s="6" t="s">
        <v>66</v>
      </c>
      <c r="I55" s="15"/>
    </row>
    <row r="56" spans="1:9" x14ac:dyDescent="0.3">
      <c r="A56" s="6" t="s">
        <v>282</v>
      </c>
      <c r="B56" s="6" t="s">
        <v>100</v>
      </c>
      <c r="C56" s="6">
        <v>2</v>
      </c>
      <c r="D56" s="14" t="s">
        <v>147</v>
      </c>
      <c r="E56" s="13" t="s">
        <v>67</v>
      </c>
      <c r="F56" s="13"/>
      <c r="G56" s="14" t="s">
        <v>219</v>
      </c>
      <c r="H56" s="6" t="s">
        <v>66</v>
      </c>
      <c r="I56" s="15"/>
    </row>
    <row r="57" spans="1:9" ht="26.4" x14ac:dyDescent="0.3">
      <c r="A57" s="6" t="s">
        <v>283</v>
      </c>
      <c r="B57" s="6" t="s">
        <v>100</v>
      </c>
      <c r="C57" s="6">
        <v>3</v>
      </c>
      <c r="D57" s="14" t="s">
        <v>284</v>
      </c>
      <c r="E57" s="13" t="s">
        <v>67</v>
      </c>
      <c r="F57" s="13"/>
      <c r="G57" s="14" t="s">
        <v>285</v>
      </c>
      <c r="H57" s="6" t="s">
        <v>66</v>
      </c>
      <c r="I57" s="15"/>
    </row>
    <row r="58" spans="1:9" ht="26.4" x14ac:dyDescent="0.3">
      <c r="A58" s="6" t="s">
        <v>286</v>
      </c>
      <c r="B58" s="6" t="s">
        <v>100</v>
      </c>
      <c r="C58" s="6">
        <v>4</v>
      </c>
      <c r="D58" s="14" t="s">
        <v>287</v>
      </c>
      <c r="E58" s="13" t="s">
        <v>67</v>
      </c>
      <c r="F58" s="13"/>
      <c r="G58" s="14" t="s">
        <v>288</v>
      </c>
      <c r="H58" s="6" t="s">
        <v>66</v>
      </c>
      <c r="I58" s="15"/>
    </row>
    <row r="59" spans="1:9" x14ac:dyDescent="0.3">
      <c r="A59" s="6" t="s">
        <v>289</v>
      </c>
      <c r="B59" s="6" t="s">
        <v>100</v>
      </c>
      <c r="C59" s="6">
        <v>5</v>
      </c>
      <c r="D59" s="14" t="s">
        <v>290</v>
      </c>
      <c r="E59" s="13" t="s">
        <v>67</v>
      </c>
      <c r="F59" s="13"/>
      <c r="G59" s="14" t="s">
        <v>291</v>
      </c>
      <c r="H59" s="6" t="s">
        <v>66</v>
      </c>
      <c r="I59" s="15"/>
    </row>
    <row r="60" spans="1:9" x14ac:dyDescent="0.3">
      <c r="A60" s="6" t="s">
        <v>292</v>
      </c>
      <c r="B60" s="6" t="s">
        <v>100</v>
      </c>
      <c r="C60" s="6">
        <v>6</v>
      </c>
      <c r="D60" s="14" t="s">
        <v>230</v>
      </c>
      <c r="E60" s="13" t="s">
        <v>67</v>
      </c>
      <c r="F60" s="13"/>
      <c r="G60" s="14" t="s">
        <v>212</v>
      </c>
      <c r="H60" s="6" t="s">
        <v>66</v>
      </c>
      <c r="I60" s="15"/>
    </row>
    <row r="61" spans="1:9" x14ac:dyDescent="0.3">
      <c r="A61" s="6" t="s">
        <v>293</v>
      </c>
      <c r="B61" s="6" t="s">
        <v>100</v>
      </c>
      <c r="C61" s="6">
        <v>7</v>
      </c>
      <c r="D61" s="14" t="s">
        <v>174</v>
      </c>
      <c r="E61" s="13" t="s">
        <v>67</v>
      </c>
      <c r="F61" s="13"/>
      <c r="G61" s="14" t="s">
        <v>294</v>
      </c>
      <c r="H61" s="6" t="s">
        <v>66</v>
      </c>
      <c r="I61" s="15"/>
    </row>
    <row r="62" spans="1:9" x14ac:dyDescent="0.3">
      <c r="A62" s="6" t="s">
        <v>295</v>
      </c>
      <c r="B62" s="6" t="s">
        <v>103</v>
      </c>
      <c r="C62" s="6">
        <v>1</v>
      </c>
      <c r="D62" s="14" t="s">
        <v>296</v>
      </c>
      <c r="E62" s="13" t="s">
        <v>67</v>
      </c>
      <c r="F62" s="13"/>
      <c r="G62" s="14" t="s">
        <v>297</v>
      </c>
      <c r="H62" s="6" t="s">
        <v>66</v>
      </c>
      <c r="I62" s="15"/>
    </row>
    <row r="63" spans="1:9" ht="26.4" x14ac:dyDescent="0.3">
      <c r="A63" s="6" t="s">
        <v>298</v>
      </c>
      <c r="B63" s="6" t="s">
        <v>103</v>
      </c>
      <c r="C63" s="6">
        <v>2</v>
      </c>
      <c r="D63" s="14" t="s">
        <v>299</v>
      </c>
      <c r="E63" s="13" t="s">
        <v>67</v>
      </c>
      <c r="F63" s="13"/>
      <c r="G63" s="14" t="s">
        <v>300</v>
      </c>
      <c r="H63" s="6" t="s">
        <v>66</v>
      </c>
      <c r="I63" s="15"/>
    </row>
    <row r="64" spans="1:9" x14ac:dyDescent="0.3">
      <c r="A64" s="6" t="s">
        <v>301</v>
      </c>
      <c r="B64" s="6" t="s">
        <v>103</v>
      </c>
      <c r="C64" s="6">
        <v>3</v>
      </c>
      <c r="D64" s="14" t="s">
        <v>302</v>
      </c>
      <c r="E64" s="13" t="s">
        <v>67</v>
      </c>
      <c r="F64" s="13"/>
      <c r="G64" s="14" t="s">
        <v>303</v>
      </c>
      <c r="H64" s="6" t="s">
        <v>66</v>
      </c>
      <c r="I64" s="15"/>
    </row>
    <row r="65" spans="1:9" x14ac:dyDescent="0.3">
      <c r="A65" s="6" t="s">
        <v>304</v>
      </c>
      <c r="B65" s="6" t="s">
        <v>103</v>
      </c>
      <c r="C65" s="6">
        <v>4</v>
      </c>
      <c r="D65" s="14" t="s">
        <v>305</v>
      </c>
      <c r="E65" s="13" t="s">
        <v>67</v>
      </c>
      <c r="F65" s="13"/>
      <c r="G65" s="14" t="s">
        <v>306</v>
      </c>
      <c r="H65" s="6" t="s">
        <v>66</v>
      </c>
      <c r="I65" s="15"/>
    </row>
    <row r="66" spans="1:9" x14ac:dyDescent="0.3">
      <c r="A66" s="6" t="s">
        <v>307</v>
      </c>
      <c r="B66" s="6" t="s">
        <v>103</v>
      </c>
      <c r="C66" s="6">
        <v>5</v>
      </c>
      <c r="D66" s="14" t="s">
        <v>308</v>
      </c>
      <c r="E66" s="13" t="s">
        <v>67</v>
      </c>
      <c r="F66" s="13"/>
      <c r="G66" s="14" t="s">
        <v>212</v>
      </c>
      <c r="H66" s="6" t="s">
        <v>66</v>
      </c>
      <c r="I66" s="15"/>
    </row>
    <row r="67" spans="1:9" x14ac:dyDescent="0.3">
      <c r="A67" s="6" t="s">
        <v>309</v>
      </c>
      <c r="B67" s="6" t="s">
        <v>103</v>
      </c>
      <c r="C67" s="6">
        <v>6</v>
      </c>
      <c r="D67" s="14" t="s">
        <v>174</v>
      </c>
      <c r="E67" s="13" t="s">
        <v>67</v>
      </c>
      <c r="F67" s="13"/>
      <c r="G67" s="14" t="s">
        <v>310</v>
      </c>
      <c r="H67" s="6" t="s">
        <v>66</v>
      </c>
      <c r="I67" s="15"/>
    </row>
    <row r="68" spans="1:9" ht="26.4" x14ac:dyDescent="0.3">
      <c r="A68" s="6" t="s">
        <v>311</v>
      </c>
      <c r="B68" s="6" t="s">
        <v>107</v>
      </c>
      <c r="C68" s="6">
        <v>1</v>
      </c>
      <c r="D68" s="14" t="s">
        <v>312</v>
      </c>
      <c r="E68" s="13" t="s">
        <v>67</v>
      </c>
      <c r="F68" s="13"/>
      <c r="G68" s="14" t="s">
        <v>313</v>
      </c>
      <c r="H68" s="6" t="s">
        <v>66</v>
      </c>
      <c r="I68" s="15"/>
    </row>
    <row r="69" spans="1:9" x14ac:dyDescent="0.3">
      <c r="A69" s="6" t="s">
        <v>314</v>
      </c>
      <c r="B69" s="6" t="s">
        <v>107</v>
      </c>
      <c r="C69" s="6">
        <v>2</v>
      </c>
      <c r="D69" s="14" t="s">
        <v>147</v>
      </c>
      <c r="E69" s="13" t="s">
        <v>67</v>
      </c>
      <c r="F69" s="13"/>
      <c r="G69" s="14" t="s">
        <v>219</v>
      </c>
      <c r="H69" s="6" t="s">
        <v>66</v>
      </c>
      <c r="I69" s="15"/>
    </row>
    <row r="70" spans="1:9" ht="26.4" x14ac:dyDescent="0.3">
      <c r="A70" s="6" t="s">
        <v>315</v>
      </c>
      <c r="B70" s="6" t="s">
        <v>107</v>
      </c>
      <c r="C70" s="6">
        <v>3</v>
      </c>
      <c r="D70" s="14" t="s">
        <v>316</v>
      </c>
      <c r="E70" s="13" t="s">
        <v>67</v>
      </c>
      <c r="F70" s="13"/>
      <c r="G70" s="14" t="s">
        <v>317</v>
      </c>
      <c r="H70" s="6" t="s">
        <v>66</v>
      </c>
      <c r="I70" s="15"/>
    </row>
    <row r="71" spans="1:9" ht="26.4" x14ac:dyDescent="0.3">
      <c r="A71" s="6" t="s">
        <v>318</v>
      </c>
      <c r="B71" s="6" t="s">
        <v>107</v>
      </c>
      <c r="C71" s="6">
        <v>4</v>
      </c>
      <c r="D71" s="14" t="s">
        <v>319</v>
      </c>
      <c r="E71" s="13" t="s">
        <v>67</v>
      </c>
      <c r="F71" s="13"/>
      <c r="G71" s="14" t="s">
        <v>320</v>
      </c>
      <c r="H71" s="6" t="s">
        <v>66</v>
      </c>
      <c r="I71" s="15"/>
    </row>
    <row r="72" spans="1:9" x14ac:dyDescent="0.3">
      <c r="A72" s="6" t="s">
        <v>321</v>
      </c>
      <c r="B72" s="6" t="s">
        <v>107</v>
      </c>
      <c r="C72" s="6">
        <v>5</v>
      </c>
      <c r="D72" s="14" t="s">
        <v>322</v>
      </c>
      <c r="E72" s="13" t="s">
        <v>67</v>
      </c>
      <c r="F72" s="13"/>
      <c r="G72" s="14" t="s">
        <v>323</v>
      </c>
      <c r="H72" s="6" t="s">
        <v>66</v>
      </c>
      <c r="I72" s="15"/>
    </row>
    <row r="73" spans="1:9" x14ac:dyDescent="0.3">
      <c r="A73" s="6" t="s">
        <v>324</v>
      </c>
      <c r="B73" s="6" t="s">
        <v>107</v>
      </c>
      <c r="C73" s="6">
        <v>6</v>
      </c>
      <c r="D73" s="14" t="s">
        <v>230</v>
      </c>
      <c r="E73" s="13" t="s">
        <v>67</v>
      </c>
      <c r="F73" s="13"/>
      <c r="G73" s="14" t="s">
        <v>212</v>
      </c>
      <c r="H73" s="6" t="s">
        <v>66</v>
      </c>
      <c r="I73" s="15"/>
    </row>
    <row r="74" spans="1:9" x14ac:dyDescent="0.3">
      <c r="A74" s="6" t="s">
        <v>325</v>
      </c>
      <c r="B74" s="6" t="s">
        <v>107</v>
      </c>
      <c r="C74" s="6">
        <v>7</v>
      </c>
      <c r="D74" s="14" t="s">
        <v>174</v>
      </c>
      <c r="E74" s="13" t="s">
        <v>67</v>
      </c>
      <c r="F74" s="13"/>
      <c r="G74" s="14" t="s">
        <v>326</v>
      </c>
      <c r="H74" s="6" t="s">
        <v>66</v>
      </c>
      <c r="I74" s="15"/>
    </row>
    <row r="75" spans="1:9" ht="26.4" x14ac:dyDescent="0.3">
      <c r="A75" s="6" t="s">
        <v>327</v>
      </c>
      <c r="B75" s="6" t="s">
        <v>112</v>
      </c>
      <c r="C75" s="6">
        <v>1</v>
      </c>
      <c r="D75" s="14" t="s">
        <v>328</v>
      </c>
      <c r="E75" s="13" t="s">
        <v>67</v>
      </c>
      <c r="F75" s="13"/>
      <c r="G75" s="14" t="s">
        <v>329</v>
      </c>
      <c r="H75" s="6" t="s">
        <v>66</v>
      </c>
      <c r="I75" s="15"/>
    </row>
    <row r="76" spans="1:9" ht="26.4" x14ac:dyDescent="0.3">
      <c r="A76" s="6" t="s">
        <v>330</v>
      </c>
      <c r="B76" s="6" t="s">
        <v>112</v>
      </c>
      <c r="C76" s="6">
        <v>2</v>
      </c>
      <c r="D76" s="14" t="s">
        <v>331</v>
      </c>
      <c r="E76" s="13" t="s">
        <v>67</v>
      </c>
      <c r="F76" s="13"/>
      <c r="G76" s="14" t="s">
        <v>332</v>
      </c>
      <c r="H76" s="6" t="s">
        <v>66</v>
      </c>
      <c r="I76" s="15"/>
    </row>
    <row r="77" spans="1:9" x14ac:dyDescent="0.3">
      <c r="A77" s="6" t="s">
        <v>333</v>
      </c>
      <c r="B77" s="6" t="s">
        <v>112</v>
      </c>
      <c r="C77" s="6">
        <v>3</v>
      </c>
      <c r="D77" s="14" t="s">
        <v>147</v>
      </c>
      <c r="E77" s="13" t="s">
        <v>67</v>
      </c>
      <c r="F77" s="13"/>
      <c r="G77" s="14" t="s">
        <v>219</v>
      </c>
      <c r="H77" s="6" t="s">
        <v>66</v>
      </c>
      <c r="I77" s="15"/>
    </row>
    <row r="78" spans="1:9" ht="26.4" x14ac:dyDescent="0.3">
      <c r="A78" s="6" t="s">
        <v>334</v>
      </c>
      <c r="B78" s="6" t="s">
        <v>112</v>
      </c>
      <c r="C78" s="6">
        <v>4</v>
      </c>
      <c r="D78" s="14" t="s">
        <v>335</v>
      </c>
      <c r="E78" s="13" t="s">
        <v>67</v>
      </c>
      <c r="F78" s="13"/>
      <c r="G78" s="14" t="s">
        <v>336</v>
      </c>
      <c r="H78" s="6" t="s">
        <v>66</v>
      </c>
      <c r="I78" s="15"/>
    </row>
    <row r="79" spans="1:9" ht="26.4" x14ac:dyDescent="0.3">
      <c r="A79" s="6" t="s">
        <v>337</v>
      </c>
      <c r="B79" s="6" t="s">
        <v>112</v>
      </c>
      <c r="C79" s="6">
        <v>5</v>
      </c>
      <c r="D79" s="14" t="s">
        <v>338</v>
      </c>
      <c r="E79" s="13" t="s">
        <v>67</v>
      </c>
      <c r="F79" s="13"/>
      <c r="G79" s="14" t="s">
        <v>339</v>
      </c>
      <c r="H79" s="6" t="s">
        <v>66</v>
      </c>
      <c r="I79" s="15"/>
    </row>
    <row r="80" spans="1:9" ht="26.4" x14ac:dyDescent="0.3">
      <c r="A80" s="6" t="s">
        <v>340</v>
      </c>
      <c r="B80" s="6" t="s">
        <v>112</v>
      </c>
      <c r="C80" s="6">
        <v>6</v>
      </c>
      <c r="D80" s="14" t="s">
        <v>341</v>
      </c>
      <c r="E80" s="13" t="s">
        <v>67</v>
      </c>
      <c r="F80" s="13"/>
      <c r="G80" s="14" t="s">
        <v>342</v>
      </c>
      <c r="H80" s="6" t="s">
        <v>66</v>
      </c>
      <c r="I80" s="15"/>
    </row>
    <row r="81" spans="1:9" x14ac:dyDescent="0.3">
      <c r="A81" s="6" t="s">
        <v>343</v>
      </c>
      <c r="B81" s="6" t="s">
        <v>112</v>
      </c>
      <c r="C81" s="6">
        <v>7</v>
      </c>
      <c r="D81" s="14" t="s">
        <v>344</v>
      </c>
      <c r="E81" s="13" t="s">
        <v>67</v>
      </c>
      <c r="F81" s="13"/>
      <c r="G81" s="14" t="s">
        <v>345</v>
      </c>
      <c r="H81" s="6" t="s">
        <v>66</v>
      </c>
      <c r="I81" s="15"/>
    </row>
    <row r="82" spans="1:9" x14ac:dyDescent="0.3">
      <c r="A82" s="6" t="s">
        <v>346</v>
      </c>
      <c r="B82" s="6" t="s">
        <v>112</v>
      </c>
      <c r="C82" s="6">
        <v>8</v>
      </c>
      <c r="D82" s="14" t="s">
        <v>347</v>
      </c>
      <c r="E82" s="13" t="s">
        <v>67</v>
      </c>
      <c r="F82" s="13"/>
      <c r="G82" s="14"/>
      <c r="H82" s="6" t="s">
        <v>66</v>
      </c>
      <c r="I82" s="15"/>
    </row>
    <row r="83" spans="1:9" ht="26.4" x14ac:dyDescent="0.3">
      <c r="A83" s="6" t="s">
        <v>348</v>
      </c>
      <c r="B83" s="6" t="s">
        <v>112</v>
      </c>
      <c r="C83" s="6">
        <v>9</v>
      </c>
      <c r="D83" s="14" t="s">
        <v>349</v>
      </c>
      <c r="E83" s="13" t="s">
        <v>67</v>
      </c>
      <c r="F83" s="13"/>
      <c r="G83" s="14" t="s">
        <v>350</v>
      </c>
      <c r="H83" s="6" t="s">
        <v>66</v>
      </c>
      <c r="I83" s="15"/>
    </row>
    <row r="84" spans="1:9" x14ac:dyDescent="0.3">
      <c r="A84" s="6" t="s">
        <v>351</v>
      </c>
      <c r="B84" s="6" t="s">
        <v>112</v>
      </c>
      <c r="C84" s="6">
        <v>10</v>
      </c>
      <c r="D84" s="14" t="s">
        <v>352</v>
      </c>
      <c r="E84" s="13" t="s">
        <v>67</v>
      </c>
      <c r="F84" s="13"/>
      <c r="G84" s="14" t="s">
        <v>353</v>
      </c>
      <c r="H84" s="6" t="s">
        <v>66</v>
      </c>
      <c r="I84" s="15"/>
    </row>
    <row r="85" spans="1:9" ht="26.4" x14ac:dyDescent="0.3">
      <c r="A85" s="6" t="s">
        <v>354</v>
      </c>
      <c r="B85" s="6" t="s">
        <v>112</v>
      </c>
      <c r="C85" s="6">
        <v>11</v>
      </c>
      <c r="D85" s="14" t="s">
        <v>355</v>
      </c>
      <c r="E85" s="13" t="s">
        <v>67</v>
      </c>
      <c r="F85" s="13"/>
      <c r="G85" s="14" t="s">
        <v>356</v>
      </c>
      <c r="H85" s="6" t="s">
        <v>66</v>
      </c>
      <c r="I85" s="15"/>
    </row>
    <row r="86" spans="1:9" ht="26.4" x14ac:dyDescent="0.3">
      <c r="A86" s="6" t="s">
        <v>357</v>
      </c>
      <c r="B86" s="6" t="s">
        <v>116</v>
      </c>
      <c r="C86" s="6">
        <v>1</v>
      </c>
      <c r="D86" s="14" t="s">
        <v>254</v>
      </c>
      <c r="E86" s="13" t="s">
        <v>67</v>
      </c>
      <c r="F86" s="13"/>
      <c r="G86" s="14" t="s">
        <v>358</v>
      </c>
      <c r="H86" s="6" t="s">
        <v>66</v>
      </c>
      <c r="I86" s="15"/>
    </row>
    <row r="87" spans="1:9" x14ac:dyDescent="0.3">
      <c r="A87" s="6" t="s">
        <v>359</v>
      </c>
      <c r="B87" s="6" t="s">
        <v>116</v>
      </c>
      <c r="C87" s="6">
        <v>2</v>
      </c>
      <c r="D87" s="14" t="s">
        <v>147</v>
      </c>
      <c r="E87" s="13" t="s">
        <v>67</v>
      </c>
      <c r="F87" s="13"/>
      <c r="G87" s="14" t="s">
        <v>219</v>
      </c>
      <c r="H87" s="6" t="s">
        <v>66</v>
      </c>
      <c r="I87" s="15"/>
    </row>
    <row r="88" spans="1:9" ht="26.4" x14ac:dyDescent="0.3">
      <c r="A88" s="6" t="s">
        <v>360</v>
      </c>
      <c r="B88" s="6" t="s">
        <v>116</v>
      </c>
      <c r="C88" s="6">
        <v>3</v>
      </c>
      <c r="D88" s="14" t="s">
        <v>361</v>
      </c>
      <c r="E88" s="13" t="s">
        <v>67</v>
      </c>
      <c r="F88" s="13"/>
      <c r="G88" s="14" t="s">
        <v>362</v>
      </c>
      <c r="H88" s="6" t="s">
        <v>66</v>
      </c>
      <c r="I88" s="15"/>
    </row>
    <row r="89" spans="1:9" x14ac:dyDescent="0.3">
      <c r="A89" s="6" t="s">
        <v>363</v>
      </c>
      <c r="B89" s="6" t="s">
        <v>116</v>
      </c>
      <c r="C89" s="6">
        <v>4</v>
      </c>
      <c r="D89" s="14" t="s">
        <v>364</v>
      </c>
      <c r="E89" s="13" t="s">
        <v>67</v>
      </c>
      <c r="F89" s="13"/>
      <c r="G89" s="14" t="s">
        <v>365</v>
      </c>
      <c r="H89" s="6" t="s">
        <v>66</v>
      </c>
      <c r="I89" s="15"/>
    </row>
    <row r="90" spans="1:9" x14ac:dyDescent="0.3">
      <c r="A90" s="6" t="s">
        <v>366</v>
      </c>
      <c r="B90" s="6" t="s">
        <v>116</v>
      </c>
      <c r="C90" s="6">
        <v>5</v>
      </c>
      <c r="D90" s="14" t="s">
        <v>367</v>
      </c>
      <c r="E90" s="13" t="s">
        <v>67</v>
      </c>
      <c r="F90" s="13"/>
      <c r="G90" s="14"/>
      <c r="H90" s="6" t="s">
        <v>66</v>
      </c>
      <c r="I90" s="15"/>
    </row>
    <row r="91" spans="1:9" x14ac:dyDescent="0.3">
      <c r="A91" s="6" t="s">
        <v>368</v>
      </c>
      <c r="B91" s="6" t="s">
        <v>116</v>
      </c>
      <c r="C91" s="6">
        <v>6</v>
      </c>
      <c r="D91" s="14" t="s">
        <v>230</v>
      </c>
      <c r="E91" s="13" t="s">
        <v>67</v>
      </c>
      <c r="F91" s="13"/>
      <c r="G91" s="14" t="s">
        <v>212</v>
      </c>
      <c r="H91" s="6" t="s">
        <v>66</v>
      </c>
      <c r="I91" s="15"/>
    </row>
    <row r="92" spans="1:9" x14ac:dyDescent="0.3">
      <c r="A92" s="6" t="s">
        <v>369</v>
      </c>
      <c r="B92" s="6" t="s">
        <v>116</v>
      </c>
      <c r="C92" s="6">
        <v>7</v>
      </c>
      <c r="D92" s="14" t="s">
        <v>174</v>
      </c>
      <c r="E92" s="13" t="s">
        <v>67</v>
      </c>
      <c r="F92" s="13"/>
      <c r="G92" s="14" t="s">
        <v>370</v>
      </c>
      <c r="H92" s="6" t="s">
        <v>66</v>
      </c>
      <c r="I92" s="15"/>
    </row>
    <row r="93" spans="1:9" ht="26.4" x14ac:dyDescent="0.3">
      <c r="A93" s="6" t="s">
        <v>371</v>
      </c>
      <c r="B93" s="6" t="s">
        <v>119</v>
      </c>
      <c r="C93" s="6">
        <v>1</v>
      </c>
      <c r="D93" s="14" t="s">
        <v>254</v>
      </c>
      <c r="E93" s="13" t="s">
        <v>67</v>
      </c>
      <c r="F93" s="13"/>
      <c r="G93" s="14" t="s">
        <v>372</v>
      </c>
      <c r="H93" s="6" t="s">
        <v>66</v>
      </c>
      <c r="I93" s="15"/>
    </row>
    <row r="94" spans="1:9" x14ac:dyDescent="0.3">
      <c r="A94" s="6" t="s">
        <v>373</v>
      </c>
      <c r="B94" s="6" t="s">
        <v>119</v>
      </c>
      <c r="C94" s="6">
        <v>2</v>
      </c>
      <c r="D94" s="14" t="s">
        <v>147</v>
      </c>
      <c r="E94" s="13" t="s">
        <v>67</v>
      </c>
      <c r="F94" s="13"/>
      <c r="G94" s="14" t="s">
        <v>219</v>
      </c>
      <c r="H94" s="6" t="s">
        <v>66</v>
      </c>
      <c r="I94" s="15"/>
    </row>
    <row r="95" spans="1:9" ht="26.4" x14ac:dyDescent="0.3">
      <c r="A95" s="6" t="s">
        <v>374</v>
      </c>
      <c r="B95" s="6" t="s">
        <v>119</v>
      </c>
      <c r="C95" s="6">
        <v>3</v>
      </c>
      <c r="D95" s="14" t="s">
        <v>375</v>
      </c>
      <c r="E95" s="13" t="s">
        <v>67</v>
      </c>
      <c r="F95" s="13"/>
      <c r="G95" s="14" t="s">
        <v>376</v>
      </c>
      <c r="H95" s="6" t="s">
        <v>66</v>
      </c>
      <c r="I95" s="15"/>
    </row>
    <row r="96" spans="1:9" x14ac:dyDescent="0.3">
      <c r="A96" s="6" t="s">
        <v>377</v>
      </c>
      <c r="B96" s="6" t="s">
        <v>119</v>
      </c>
      <c r="C96" s="6">
        <v>4</v>
      </c>
      <c r="D96" s="14" t="s">
        <v>378</v>
      </c>
      <c r="E96" s="13" t="s">
        <v>67</v>
      </c>
      <c r="F96" s="13"/>
      <c r="G96" s="14"/>
      <c r="H96" s="6" t="s">
        <v>66</v>
      </c>
      <c r="I96" s="15"/>
    </row>
    <row r="97" spans="1:9" x14ac:dyDescent="0.3">
      <c r="A97" s="6" t="s">
        <v>379</v>
      </c>
      <c r="B97" s="6" t="s">
        <v>119</v>
      </c>
      <c r="C97" s="6">
        <v>5</v>
      </c>
      <c r="D97" s="14" t="s">
        <v>230</v>
      </c>
      <c r="E97" s="13" t="s">
        <v>67</v>
      </c>
      <c r="F97" s="13"/>
      <c r="G97" s="14" t="s">
        <v>212</v>
      </c>
      <c r="H97" s="6" t="s">
        <v>66</v>
      </c>
      <c r="I97" s="15"/>
    </row>
    <row r="98" spans="1:9" x14ac:dyDescent="0.3">
      <c r="A98" s="6" t="s">
        <v>380</v>
      </c>
      <c r="B98" s="6" t="s">
        <v>119</v>
      </c>
      <c r="C98" s="6">
        <v>6</v>
      </c>
      <c r="D98" s="14" t="s">
        <v>174</v>
      </c>
      <c r="E98" s="13" t="s">
        <v>67</v>
      </c>
      <c r="F98" s="13"/>
      <c r="G98" s="14" t="s">
        <v>381</v>
      </c>
      <c r="H98" s="6" t="s">
        <v>66</v>
      </c>
      <c r="I98" s="15"/>
    </row>
    <row r="99" spans="1:9" x14ac:dyDescent="0.3">
      <c r="A99" s="6" t="s">
        <v>382</v>
      </c>
      <c r="B99" s="6" t="s">
        <v>122</v>
      </c>
      <c r="C99" s="6">
        <v>1</v>
      </c>
      <c r="D99" s="14" t="s">
        <v>383</v>
      </c>
      <c r="E99" s="13" t="s">
        <v>67</v>
      </c>
      <c r="F99" s="13"/>
      <c r="G99" s="14" t="s">
        <v>384</v>
      </c>
      <c r="H99" s="6" t="s">
        <v>66</v>
      </c>
      <c r="I99" s="15"/>
    </row>
    <row r="100" spans="1:9" ht="26.4" x14ac:dyDescent="0.3">
      <c r="A100" s="6" t="s">
        <v>385</v>
      </c>
      <c r="B100" s="6" t="s">
        <v>122</v>
      </c>
      <c r="C100" s="6">
        <v>2</v>
      </c>
      <c r="D100" s="14" t="s">
        <v>386</v>
      </c>
      <c r="E100" s="13" t="s">
        <v>67</v>
      </c>
      <c r="F100" s="13"/>
      <c r="G100" s="14" t="s">
        <v>387</v>
      </c>
      <c r="H100" s="6" t="s">
        <v>66</v>
      </c>
      <c r="I100" s="15"/>
    </row>
    <row r="101" spans="1:9" x14ac:dyDescent="0.3">
      <c r="A101" s="6" t="s">
        <v>388</v>
      </c>
      <c r="B101" s="6" t="s">
        <v>122</v>
      </c>
      <c r="C101" s="6">
        <v>3</v>
      </c>
      <c r="D101" s="14" t="s">
        <v>389</v>
      </c>
      <c r="E101" s="13" t="s">
        <v>67</v>
      </c>
      <c r="F101" s="13"/>
      <c r="G101" s="14"/>
      <c r="H101" s="6" t="s">
        <v>66</v>
      </c>
      <c r="I101" s="15"/>
    </row>
    <row r="102" spans="1:9" ht="26.4" x14ac:dyDescent="0.3">
      <c r="A102" s="6" t="s">
        <v>390</v>
      </c>
      <c r="B102" s="6" t="s">
        <v>122</v>
      </c>
      <c r="C102" s="6">
        <v>4</v>
      </c>
      <c r="D102" s="14" t="s">
        <v>391</v>
      </c>
      <c r="E102" s="13" t="s">
        <v>67</v>
      </c>
      <c r="F102" s="13"/>
      <c r="G102" s="14" t="s">
        <v>392</v>
      </c>
      <c r="H102" s="6" t="s">
        <v>66</v>
      </c>
      <c r="I102" s="15"/>
    </row>
    <row r="103" spans="1:9" ht="26.4" x14ac:dyDescent="0.3">
      <c r="A103" s="6" t="s">
        <v>393</v>
      </c>
      <c r="B103" s="6" t="s">
        <v>122</v>
      </c>
      <c r="C103" s="6">
        <v>5</v>
      </c>
      <c r="D103" s="14" t="s">
        <v>394</v>
      </c>
      <c r="E103" s="13" t="s">
        <v>67</v>
      </c>
      <c r="F103" s="13"/>
      <c r="G103" s="14" t="s">
        <v>395</v>
      </c>
      <c r="H103" s="6" t="s">
        <v>66</v>
      </c>
      <c r="I103" s="15"/>
    </row>
    <row r="104" spans="1:9" x14ac:dyDescent="0.3">
      <c r="A104" s="6" t="s">
        <v>396</v>
      </c>
      <c r="B104" s="6" t="s">
        <v>122</v>
      </c>
      <c r="C104" s="6">
        <v>6</v>
      </c>
      <c r="D104" s="14" t="s">
        <v>397</v>
      </c>
      <c r="E104" s="13" t="s">
        <v>67</v>
      </c>
      <c r="F104" s="13"/>
      <c r="G104" s="14" t="s">
        <v>212</v>
      </c>
      <c r="H104" s="6" t="s">
        <v>66</v>
      </c>
      <c r="I104" s="15"/>
    </row>
    <row r="105" spans="1:9" x14ac:dyDescent="0.3">
      <c r="A105" s="6" t="s">
        <v>398</v>
      </c>
      <c r="B105" s="6" t="s">
        <v>122</v>
      </c>
      <c r="C105" s="6">
        <v>7</v>
      </c>
      <c r="D105" s="14" t="s">
        <v>174</v>
      </c>
      <c r="E105" s="13" t="s">
        <v>67</v>
      </c>
      <c r="F105" s="13"/>
      <c r="G105" s="14" t="s">
        <v>399</v>
      </c>
      <c r="H105" s="6" t="s">
        <v>66</v>
      </c>
      <c r="I105" s="15"/>
    </row>
    <row r="106" spans="1:9" ht="26.4" x14ac:dyDescent="0.3">
      <c r="A106" s="6" t="s">
        <v>400</v>
      </c>
      <c r="B106" s="6" t="s">
        <v>125</v>
      </c>
      <c r="C106" s="6">
        <v>1</v>
      </c>
      <c r="D106" s="14" t="s">
        <v>401</v>
      </c>
      <c r="E106" s="13" t="s">
        <v>67</v>
      </c>
      <c r="F106" s="13"/>
      <c r="G106" s="14" t="s">
        <v>402</v>
      </c>
      <c r="H106" s="6" t="s">
        <v>66</v>
      </c>
      <c r="I106" s="15"/>
    </row>
    <row r="107" spans="1:9" x14ac:dyDescent="0.3">
      <c r="A107" s="6" t="s">
        <v>403</v>
      </c>
      <c r="B107" s="6" t="s">
        <v>125</v>
      </c>
      <c r="C107" s="6">
        <v>2</v>
      </c>
      <c r="D107" s="14" t="s">
        <v>147</v>
      </c>
      <c r="E107" s="13" t="s">
        <v>67</v>
      </c>
      <c r="F107" s="13"/>
      <c r="G107" s="14" t="s">
        <v>219</v>
      </c>
      <c r="H107" s="6" t="s">
        <v>66</v>
      </c>
      <c r="I107" s="15"/>
    </row>
    <row r="108" spans="1:9" ht="26.4" x14ac:dyDescent="0.3">
      <c r="A108" s="6" t="s">
        <v>404</v>
      </c>
      <c r="B108" s="6" t="s">
        <v>125</v>
      </c>
      <c r="C108" s="6">
        <v>3</v>
      </c>
      <c r="D108" s="14" t="s">
        <v>405</v>
      </c>
      <c r="E108" s="13" t="s">
        <v>67</v>
      </c>
      <c r="F108" s="13"/>
      <c r="G108" s="14" t="s">
        <v>406</v>
      </c>
      <c r="H108" s="6" t="s">
        <v>66</v>
      </c>
      <c r="I108" s="15"/>
    </row>
    <row r="109" spans="1:9" ht="26.4" x14ac:dyDescent="0.3">
      <c r="A109" s="6" t="s">
        <v>407</v>
      </c>
      <c r="B109" s="6" t="s">
        <v>125</v>
      </c>
      <c r="C109" s="6">
        <v>4</v>
      </c>
      <c r="D109" s="14" t="s">
        <v>408</v>
      </c>
      <c r="E109" s="13" t="s">
        <v>67</v>
      </c>
      <c r="F109" s="13"/>
      <c r="G109" s="14" t="s">
        <v>409</v>
      </c>
      <c r="H109" s="6" t="s">
        <v>66</v>
      </c>
      <c r="I109" s="15"/>
    </row>
    <row r="110" spans="1:9" x14ac:dyDescent="0.3">
      <c r="A110" s="6" t="s">
        <v>410</v>
      </c>
      <c r="B110" s="6" t="s">
        <v>125</v>
      </c>
      <c r="C110" s="6">
        <v>5</v>
      </c>
      <c r="D110" s="14" t="s">
        <v>411</v>
      </c>
      <c r="E110" s="13" t="s">
        <v>67</v>
      </c>
      <c r="F110" s="13"/>
      <c r="G110" s="14" t="s">
        <v>412</v>
      </c>
      <c r="H110" s="6" t="s">
        <v>66</v>
      </c>
      <c r="I110" s="15"/>
    </row>
    <row r="111" spans="1:9" x14ac:dyDescent="0.3">
      <c r="A111" s="6" t="s">
        <v>413</v>
      </c>
      <c r="B111" s="6" t="s">
        <v>125</v>
      </c>
      <c r="C111" s="6">
        <v>6</v>
      </c>
      <c r="D111" s="14" t="s">
        <v>414</v>
      </c>
      <c r="E111" s="13" t="s">
        <v>67</v>
      </c>
      <c r="F111" s="13"/>
      <c r="G111" s="14"/>
      <c r="H111" s="6" t="s">
        <v>66</v>
      </c>
      <c r="I111" s="15"/>
    </row>
    <row r="112" spans="1:9" x14ac:dyDescent="0.3">
      <c r="A112" s="6" t="s">
        <v>415</v>
      </c>
      <c r="B112" s="6" t="s">
        <v>125</v>
      </c>
      <c r="C112" s="6">
        <v>7</v>
      </c>
      <c r="D112" s="14" t="s">
        <v>230</v>
      </c>
      <c r="E112" s="13" t="s">
        <v>67</v>
      </c>
      <c r="F112" s="13"/>
      <c r="G112" s="14" t="s">
        <v>212</v>
      </c>
      <c r="H112" s="6" t="s">
        <v>66</v>
      </c>
      <c r="I112" s="15"/>
    </row>
    <row r="113" spans="1:9" x14ac:dyDescent="0.3">
      <c r="A113" s="6" t="s">
        <v>416</v>
      </c>
      <c r="B113" s="6" t="s">
        <v>125</v>
      </c>
      <c r="C113" s="6">
        <v>8</v>
      </c>
      <c r="D113" s="14" t="s">
        <v>174</v>
      </c>
      <c r="E113" s="13" t="s">
        <v>67</v>
      </c>
      <c r="F113" s="13"/>
      <c r="G113" s="14" t="s">
        <v>417</v>
      </c>
      <c r="H113" s="6" t="s">
        <v>66</v>
      </c>
      <c r="I113" s="15"/>
    </row>
    <row r="114" spans="1:9" x14ac:dyDescent="0.3">
      <c r="A114" s="6" t="s">
        <v>418</v>
      </c>
      <c r="B114" s="6" t="s">
        <v>130</v>
      </c>
      <c r="C114" s="6">
        <v>1</v>
      </c>
      <c r="D114" s="14" t="s">
        <v>419</v>
      </c>
      <c r="E114" s="13" t="s">
        <v>67</v>
      </c>
      <c r="F114" s="13"/>
      <c r="G114" s="14" t="s">
        <v>420</v>
      </c>
      <c r="H114" s="6" t="s">
        <v>66</v>
      </c>
      <c r="I114" s="15"/>
    </row>
    <row r="115" spans="1:9" ht="26.4" x14ac:dyDescent="0.3">
      <c r="A115" s="6" t="s">
        <v>421</v>
      </c>
      <c r="B115" s="6" t="s">
        <v>130</v>
      </c>
      <c r="C115" s="6">
        <v>2</v>
      </c>
      <c r="D115" s="14" t="s">
        <v>422</v>
      </c>
      <c r="E115" s="13" t="s">
        <v>67</v>
      </c>
      <c r="F115" s="13"/>
      <c r="G115" s="14" t="s">
        <v>423</v>
      </c>
      <c r="H115" s="6" t="s">
        <v>66</v>
      </c>
      <c r="I115" s="15"/>
    </row>
    <row r="116" spans="1:9" x14ac:dyDescent="0.3">
      <c r="A116" s="6" t="s">
        <v>424</v>
      </c>
      <c r="B116" s="6" t="s">
        <v>130</v>
      </c>
      <c r="C116" s="6">
        <v>3</v>
      </c>
      <c r="D116" s="14" t="s">
        <v>425</v>
      </c>
      <c r="E116" s="13" t="s">
        <v>67</v>
      </c>
      <c r="F116" s="13"/>
      <c r="G116" s="14" t="s">
        <v>426</v>
      </c>
      <c r="H116" s="6" t="s">
        <v>66</v>
      </c>
      <c r="I116" s="15"/>
    </row>
    <row r="117" spans="1:9" x14ac:dyDescent="0.3">
      <c r="A117" s="6" t="s">
        <v>427</v>
      </c>
      <c r="B117" s="6" t="s">
        <v>130</v>
      </c>
      <c r="C117" s="6">
        <v>4</v>
      </c>
      <c r="D117" s="14" t="s">
        <v>428</v>
      </c>
      <c r="E117" s="13" t="s">
        <v>67</v>
      </c>
      <c r="F117" s="13"/>
      <c r="G117" s="14" t="s">
        <v>429</v>
      </c>
      <c r="H117" s="6" t="s">
        <v>66</v>
      </c>
      <c r="I117" s="15"/>
    </row>
    <row r="118" spans="1:9" x14ac:dyDescent="0.3">
      <c r="A118" s="6" t="s">
        <v>430</v>
      </c>
      <c r="B118" s="6" t="s">
        <v>130</v>
      </c>
      <c r="C118" s="6">
        <v>5</v>
      </c>
      <c r="D118" s="14" t="s">
        <v>174</v>
      </c>
      <c r="E118" s="13" t="s">
        <v>67</v>
      </c>
      <c r="F118" s="13"/>
      <c r="G118" s="14" t="s">
        <v>431</v>
      </c>
      <c r="H118" s="6" t="s">
        <v>66</v>
      </c>
      <c r="I118" s="15"/>
    </row>
    <row r="119" spans="1:9" x14ac:dyDescent="0.3">
      <c r="A119" s="6" t="s">
        <v>432</v>
      </c>
      <c r="B119" s="6" t="s">
        <v>135</v>
      </c>
      <c r="C119" s="6">
        <v>1</v>
      </c>
      <c r="D119" s="14" t="s">
        <v>433</v>
      </c>
      <c r="E119" s="13" t="s">
        <v>67</v>
      </c>
      <c r="F119" s="13"/>
      <c r="G119" s="14" t="s">
        <v>212</v>
      </c>
      <c r="H119" s="6" t="s">
        <v>66</v>
      </c>
      <c r="I119" s="15"/>
    </row>
    <row r="120" spans="1:9" x14ac:dyDescent="0.3">
      <c r="A120" s="6" t="s">
        <v>434</v>
      </c>
      <c r="B120" s="6" t="s">
        <v>135</v>
      </c>
      <c r="C120" s="6">
        <v>2</v>
      </c>
      <c r="D120" s="14" t="s">
        <v>435</v>
      </c>
      <c r="E120" s="13" t="s">
        <v>67</v>
      </c>
      <c r="F120" s="13"/>
      <c r="G120" s="14" t="s">
        <v>212</v>
      </c>
      <c r="H120" s="6" t="s">
        <v>66</v>
      </c>
      <c r="I120" s="15"/>
    </row>
    <row r="121" spans="1:9" x14ac:dyDescent="0.3">
      <c r="A121" s="6" t="s">
        <v>436</v>
      </c>
      <c r="B121" s="6" t="s">
        <v>135</v>
      </c>
      <c r="C121" s="6">
        <v>3</v>
      </c>
      <c r="D121" s="14" t="s">
        <v>437</v>
      </c>
      <c r="E121" s="13" t="s">
        <v>67</v>
      </c>
      <c r="F121" s="13"/>
      <c r="G121" s="14" t="s">
        <v>212</v>
      </c>
      <c r="H121" s="6" t="s">
        <v>66</v>
      </c>
      <c r="I121" s="15"/>
    </row>
    <row r="122" spans="1:9" x14ac:dyDescent="0.3">
      <c r="A122" s="6" t="s">
        <v>438</v>
      </c>
      <c r="B122" s="6" t="s">
        <v>135</v>
      </c>
      <c r="C122" s="6">
        <v>4</v>
      </c>
      <c r="D122" s="14" t="s">
        <v>439</v>
      </c>
      <c r="E122" s="13" t="s">
        <v>67</v>
      </c>
      <c r="F122" s="13"/>
      <c r="G122" s="14" t="s">
        <v>440</v>
      </c>
      <c r="H122" s="6" t="s">
        <v>66</v>
      </c>
      <c r="I122" s="15"/>
    </row>
    <row r="123" spans="1:9" x14ac:dyDescent="0.3">
      <c r="A123" s="6" t="s">
        <v>441</v>
      </c>
      <c r="B123" s="6" t="s">
        <v>135</v>
      </c>
      <c r="C123" s="6">
        <v>5</v>
      </c>
      <c r="D123" s="14" t="s">
        <v>442</v>
      </c>
      <c r="E123" s="13" t="s">
        <v>67</v>
      </c>
      <c r="F123" s="13"/>
      <c r="G123" s="14" t="s">
        <v>443</v>
      </c>
      <c r="H123" s="6" t="s">
        <v>66</v>
      </c>
      <c r="I123" s="15"/>
    </row>
    <row r="124" spans="1:9" x14ac:dyDescent="0.3">
      <c r="A124" s="6" t="s">
        <v>444</v>
      </c>
      <c r="B124" s="6" t="s">
        <v>135</v>
      </c>
      <c r="C124" s="6">
        <v>6</v>
      </c>
      <c r="D124" s="14" t="s">
        <v>445</v>
      </c>
      <c r="E124" s="13" t="s">
        <v>67</v>
      </c>
      <c r="F124" s="13"/>
      <c r="G124" s="14" t="s">
        <v>446</v>
      </c>
      <c r="H124" s="6" t="s">
        <v>66</v>
      </c>
      <c r="I124" s="15"/>
    </row>
    <row r="125" spans="1:9" x14ac:dyDescent="0.3">
      <c r="A125" s="6" t="s">
        <v>447</v>
      </c>
      <c r="B125" s="6" t="s">
        <v>135</v>
      </c>
      <c r="C125" s="6">
        <v>7</v>
      </c>
      <c r="D125" s="14" t="s">
        <v>448</v>
      </c>
      <c r="E125" s="13" t="s">
        <v>67</v>
      </c>
      <c r="F125" s="13"/>
      <c r="G125" s="14" t="s">
        <v>449</v>
      </c>
      <c r="H125" s="6" t="s">
        <v>66</v>
      </c>
      <c r="I125" s="15"/>
    </row>
    <row r="126" spans="1:9" ht="26.4" x14ac:dyDescent="0.3">
      <c r="A126" s="6" t="s">
        <v>450</v>
      </c>
      <c r="B126" s="6" t="s">
        <v>135</v>
      </c>
      <c r="C126" s="6">
        <v>8</v>
      </c>
      <c r="D126" s="14" t="s">
        <v>451</v>
      </c>
      <c r="E126" s="13" t="s">
        <v>67</v>
      </c>
      <c r="F126" s="13"/>
      <c r="G126" s="14" t="s">
        <v>452</v>
      </c>
      <c r="H126" s="6" t="s">
        <v>66</v>
      </c>
      <c r="I126" s="15"/>
    </row>
    <row r="127" spans="1:9" ht="26.4" x14ac:dyDescent="0.3">
      <c r="A127" s="6" t="s">
        <v>453</v>
      </c>
      <c r="B127" s="6" t="s">
        <v>135</v>
      </c>
      <c r="C127" s="6">
        <v>9</v>
      </c>
      <c r="D127" s="14" t="s">
        <v>454</v>
      </c>
      <c r="E127" s="13" t="s">
        <v>67</v>
      </c>
      <c r="F127" s="13"/>
      <c r="G127" s="14" t="s">
        <v>455</v>
      </c>
      <c r="H127" s="16" t="s">
        <v>456</v>
      </c>
      <c r="I127" s="15"/>
    </row>
    <row r="128" spans="1:9" x14ac:dyDescent="0.3">
      <c r="A128" s="6" t="s">
        <v>457</v>
      </c>
      <c r="B128" s="6" t="s">
        <v>135</v>
      </c>
      <c r="C128" s="6">
        <v>10</v>
      </c>
      <c r="D128" s="14" t="s">
        <v>458</v>
      </c>
      <c r="E128" s="13" t="s">
        <v>67</v>
      </c>
      <c r="F128" s="13"/>
      <c r="G128" s="14" t="s">
        <v>459</v>
      </c>
      <c r="H128" s="6" t="s">
        <v>66</v>
      </c>
      <c r="I128" s="15"/>
    </row>
    <row r="129" spans="1:9" x14ac:dyDescent="0.3">
      <c r="A129" s="6" t="s">
        <v>460</v>
      </c>
      <c r="B129" s="6" t="s">
        <v>135</v>
      </c>
      <c r="C129" s="6">
        <v>11</v>
      </c>
      <c r="D129" s="14" t="s">
        <v>174</v>
      </c>
      <c r="E129" s="13" t="s">
        <v>67</v>
      </c>
      <c r="F129" s="13"/>
      <c r="G129" s="14" t="s">
        <v>461</v>
      </c>
      <c r="H129" s="6" t="s">
        <v>66</v>
      </c>
      <c r="I129" s="15"/>
    </row>
  </sheetData>
  <autoFilter ref="A1:I129" xr:uid="{00000000-0009-0000-0000-000002000000}"/>
  <dataValidations count="1">
    <dataValidation type="list" allowBlank="1" sqref="E2:E129" xr:uid="{00000000-0002-0000-0200-000000000000}">
      <formula1>"Not started,In progress,Blocked,Done,Skipped,N/A"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6" customWidth="1"/>
    <col min="2" max="2" width="56" customWidth="1"/>
    <col min="3" max="3" width="30" customWidth="1"/>
    <col min="4" max="4" width="74" customWidth="1"/>
    <col min="5" max="5" width="34" customWidth="1"/>
    <col min="6" max="6" width="13" customWidth="1"/>
    <col min="7" max="7" width="14" customWidth="1"/>
  </cols>
  <sheetData>
    <row r="1" spans="1:7" x14ac:dyDescent="0.3">
      <c r="A1" s="10" t="s">
        <v>462</v>
      </c>
      <c r="B1" s="10" t="s">
        <v>463</v>
      </c>
      <c r="C1" s="10" t="s">
        <v>464</v>
      </c>
      <c r="D1" s="10" t="s">
        <v>465</v>
      </c>
      <c r="E1" s="10" t="s">
        <v>466</v>
      </c>
      <c r="F1" s="10" t="s">
        <v>34</v>
      </c>
      <c r="G1" s="10" t="s">
        <v>467</v>
      </c>
    </row>
    <row r="2" spans="1:7" ht="26.4" x14ac:dyDescent="0.3">
      <c r="A2" s="6" t="s">
        <v>68</v>
      </c>
      <c r="B2" s="14" t="s">
        <v>468</v>
      </c>
      <c r="C2" s="12" t="s">
        <v>469</v>
      </c>
      <c r="D2" s="14" t="s">
        <v>470</v>
      </c>
      <c r="E2" s="15"/>
      <c r="F2" s="13" t="s">
        <v>471</v>
      </c>
      <c r="G2" s="13"/>
    </row>
    <row r="3" spans="1:7" ht="26.4" x14ac:dyDescent="0.3">
      <c r="A3" s="6" t="s">
        <v>93</v>
      </c>
      <c r="B3" s="14" t="s">
        <v>472</v>
      </c>
      <c r="C3" s="14" t="s">
        <v>473</v>
      </c>
      <c r="D3" s="14" t="s">
        <v>474</v>
      </c>
      <c r="E3" s="15"/>
      <c r="F3" s="13" t="s">
        <v>471</v>
      </c>
      <c r="G3" s="13"/>
    </row>
    <row r="4" spans="1:7" x14ac:dyDescent="0.3">
      <c r="A4" s="6" t="s">
        <v>475</v>
      </c>
      <c r="B4" s="14" t="s">
        <v>476</v>
      </c>
      <c r="C4" s="14" t="s">
        <v>477</v>
      </c>
      <c r="D4" s="14" t="s">
        <v>478</v>
      </c>
      <c r="E4" s="15"/>
      <c r="F4" s="13" t="s">
        <v>471</v>
      </c>
      <c r="G4" s="13"/>
    </row>
    <row r="5" spans="1:7" ht="26.4" x14ac:dyDescent="0.3">
      <c r="A5" s="6" t="s">
        <v>479</v>
      </c>
      <c r="B5" s="14" t="s">
        <v>480</v>
      </c>
      <c r="C5" s="14" t="s">
        <v>481</v>
      </c>
      <c r="D5" s="14" t="s">
        <v>482</v>
      </c>
      <c r="E5" s="15"/>
      <c r="F5" s="13" t="s">
        <v>471</v>
      </c>
      <c r="G5" s="13"/>
    </row>
    <row r="6" spans="1:7" ht="26.4" x14ac:dyDescent="0.3">
      <c r="A6" s="6" t="s">
        <v>483</v>
      </c>
      <c r="B6" s="14" t="s">
        <v>484</v>
      </c>
      <c r="C6" s="14" t="s">
        <v>485</v>
      </c>
      <c r="D6" s="14" t="s">
        <v>486</v>
      </c>
      <c r="E6" s="15"/>
      <c r="F6" s="13" t="s">
        <v>471</v>
      </c>
      <c r="G6" s="13"/>
    </row>
    <row r="7" spans="1:7" ht="26.4" x14ac:dyDescent="0.3">
      <c r="A7" s="6" t="s">
        <v>487</v>
      </c>
      <c r="B7" s="14" t="s">
        <v>488</v>
      </c>
      <c r="C7" s="14" t="s">
        <v>489</v>
      </c>
      <c r="D7" s="14" t="s">
        <v>490</v>
      </c>
      <c r="E7" s="15"/>
      <c r="F7" s="13" t="s">
        <v>471</v>
      </c>
      <c r="G7" s="13"/>
    </row>
  </sheetData>
  <dataValidations count="1">
    <dataValidation type="list" allowBlank="1" sqref="F2:F7" xr:uid="{00000000-0002-0000-0300-000000000000}">
      <formula1>"Open,Answered,Deferred,N/A"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" customWidth="1"/>
    <col min="2" max="2" width="54" customWidth="1"/>
    <col min="3" max="3" width="62" customWidth="1"/>
    <col min="4" max="4" width="26" customWidth="1"/>
    <col min="5" max="5" width="13" customWidth="1"/>
    <col min="6" max="7" width="26" customWidth="1"/>
  </cols>
  <sheetData>
    <row r="1" spans="1:7" x14ac:dyDescent="0.3">
      <c r="A1" s="10" t="s">
        <v>491</v>
      </c>
      <c r="B1" s="10" t="s">
        <v>492</v>
      </c>
      <c r="C1" s="10" t="s">
        <v>493</v>
      </c>
      <c r="D1" s="10" t="s">
        <v>57</v>
      </c>
      <c r="E1" s="10" t="s">
        <v>34</v>
      </c>
      <c r="F1" s="10" t="s">
        <v>494</v>
      </c>
      <c r="G1" s="10" t="s">
        <v>36</v>
      </c>
    </row>
    <row r="2" spans="1:7" x14ac:dyDescent="0.3">
      <c r="A2" s="6">
        <v>1</v>
      </c>
      <c r="B2" s="14" t="s">
        <v>495</v>
      </c>
      <c r="C2" s="14" t="s">
        <v>496</v>
      </c>
      <c r="D2" s="6" t="s">
        <v>66</v>
      </c>
      <c r="E2" s="13" t="s">
        <v>67</v>
      </c>
      <c r="F2" s="15"/>
      <c r="G2" s="15"/>
    </row>
    <row r="3" spans="1:7" x14ac:dyDescent="0.3">
      <c r="A3" s="6">
        <v>2</v>
      </c>
      <c r="B3" s="14" t="s">
        <v>497</v>
      </c>
      <c r="C3" s="14" t="s">
        <v>498</v>
      </c>
      <c r="D3" s="6" t="s">
        <v>66</v>
      </c>
      <c r="E3" s="13" t="s">
        <v>67</v>
      </c>
      <c r="F3" s="15"/>
      <c r="G3" s="15"/>
    </row>
    <row r="4" spans="1:7" x14ac:dyDescent="0.3">
      <c r="A4" s="6">
        <v>3</v>
      </c>
      <c r="B4" s="14" t="s">
        <v>499</v>
      </c>
      <c r="C4" s="14" t="s">
        <v>500</v>
      </c>
      <c r="D4" s="6" t="s">
        <v>66</v>
      </c>
      <c r="E4" s="13" t="s">
        <v>67</v>
      </c>
      <c r="F4" s="15"/>
      <c r="G4" s="15"/>
    </row>
    <row r="5" spans="1:7" x14ac:dyDescent="0.3">
      <c r="A5" s="6">
        <v>4</v>
      </c>
      <c r="B5" s="14" t="s">
        <v>501</v>
      </c>
      <c r="C5" s="14"/>
      <c r="D5" s="6" t="s">
        <v>66</v>
      </c>
      <c r="E5" s="13" t="s">
        <v>67</v>
      </c>
      <c r="F5" s="15"/>
      <c r="G5" s="15"/>
    </row>
    <row r="6" spans="1:7" x14ac:dyDescent="0.3">
      <c r="A6" s="6">
        <v>5</v>
      </c>
      <c r="B6" s="14" t="s">
        <v>502</v>
      </c>
      <c r="C6" s="14" t="s">
        <v>503</v>
      </c>
      <c r="D6" s="6" t="s">
        <v>66</v>
      </c>
      <c r="E6" s="13" t="s">
        <v>67</v>
      </c>
      <c r="F6" s="15"/>
      <c r="G6" s="15"/>
    </row>
    <row r="7" spans="1:7" ht="26.4" x14ac:dyDescent="0.3">
      <c r="A7" s="6">
        <v>6</v>
      </c>
      <c r="B7" s="14" t="s">
        <v>504</v>
      </c>
      <c r="C7" s="14"/>
      <c r="D7" s="6" t="s">
        <v>66</v>
      </c>
      <c r="E7" s="13" t="s">
        <v>67</v>
      </c>
      <c r="F7" s="15"/>
      <c r="G7" s="15"/>
    </row>
    <row r="8" spans="1:7" x14ac:dyDescent="0.3">
      <c r="A8" s="6">
        <v>7</v>
      </c>
      <c r="B8" s="14" t="s">
        <v>505</v>
      </c>
      <c r="C8" s="14" t="s">
        <v>506</v>
      </c>
      <c r="D8" s="6" t="s">
        <v>66</v>
      </c>
      <c r="E8" s="13" t="s">
        <v>67</v>
      </c>
      <c r="F8" s="15"/>
      <c r="G8" s="15"/>
    </row>
    <row r="9" spans="1:7" ht="26.4" x14ac:dyDescent="0.3">
      <c r="A9" s="6">
        <v>8</v>
      </c>
      <c r="B9" s="14" t="s">
        <v>507</v>
      </c>
      <c r="C9" s="14" t="s">
        <v>508</v>
      </c>
      <c r="D9" s="16" t="s">
        <v>509</v>
      </c>
      <c r="E9" s="13" t="s">
        <v>67</v>
      </c>
      <c r="F9" s="15"/>
      <c r="G9" s="15"/>
    </row>
    <row r="10" spans="1:7" x14ac:dyDescent="0.3">
      <c r="A10" s="6">
        <v>9</v>
      </c>
      <c r="B10" s="14" t="s">
        <v>510</v>
      </c>
      <c r="C10" s="14"/>
      <c r="D10" s="6" t="s">
        <v>66</v>
      </c>
      <c r="E10" s="13" t="s">
        <v>67</v>
      </c>
      <c r="F10" s="15"/>
      <c r="G10" s="15"/>
    </row>
    <row r="11" spans="1:7" ht="26.4" x14ac:dyDescent="0.3">
      <c r="A11" s="6">
        <v>10</v>
      </c>
      <c r="B11" s="14" t="s">
        <v>511</v>
      </c>
      <c r="C11" s="14" t="s">
        <v>512</v>
      </c>
      <c r="D11" s="16" t="s">
        <v>513</v>
      </c>
      <c r="E11" s="13" t="s">
        <v>67</v>
      </c>
      <c r="F11" s="15"/>
      <c r="G11" s="15"/>
    </row>
    <row r="12" spans="1:7" x14ac:dyDescent="0.3">
      <c r="A12" s="6">
        <v>11</v>
      </c>
      <c r="B12" s="14" t="s">
        <v>514</v>
      </c>
      <c r="C12" s="14"/>
      <c r="D12" s="6" t="s">
        <v>66</v>
      </c>
      <c r="E12" s="13" t="s">
        <v>67</v>
      </c>
      <c r="F12" s="15"/>
      <c r="G12" s="15"/>
    </row>
    <row r="13" spans="1:7" x14ac:dyDescent="0.3">
      <c r="A13" s="6">
        <v>12</v>
      </c>
      <c r="B13" s="14" t="s">
        <v>515</v>
      </c>
      <c r="C13" s="14"/>
      <c r="D13" s="6" t="s">
        <v>66</v>
      </c>
      <c r="E13" s="13" t="s">
        <v>67</v>
      </c>
      <c r="F13" s="15"/>
      <c r="G13" s="15"/>
    </row>
  </sheetData>
  <dataValidations count="1">
    <dataValidation type="list" allowBlank="1" sqref="E2:E13" xr:uid="{00000000-0002-0000-0400-000000000000}">
      <formula1>"Not started,In progress,Blocked,Done,Skipped,N/A"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Tasks</vt:lpstr>
      <vt:lpstr>Steps</vt:lpstr>
      <vt:lpstr>Decisions</vt:lpstr>
      <vt:lpstr>Evidence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Warwick Bartrum</cp:lastModifiedBy>
  <dcterms:created xsi:type="dcterms:W3CDTF">2026-09-08T15:50:08Z</dcterms:created>
  <dcterms:modified xsi:type="dcterms:W3CDTF">2026-09-08T15:51:02Z</dcterms:modified>
</cp:coreProperties>
</file>